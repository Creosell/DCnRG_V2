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13_ncr:1_{69992377-C0A1-4AB8-A58F-17556006DD37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tatistics" sheetId="1" r:id="rId1"/>
    <sheet name="Gamma" sheetId="3" r:id="rId2"/>
    <sheet name="9 points" sheetId="2" r:id="rId3"/>
    <sheet name="5_13 points" sheetId="4" r:id="rId4"/>
  </sheets>
  <definedNames>
    <definedName name="_xlnm._FilterDatabase" localSheetId="2" hidden="1">'9 points'!$A$1:$W$90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I9" i="1"/>
  <c r="B10" i="1"/>
  <c r="B8" i="1"/>
  <c r="C12" i="1" l="1"/>
  <c r="D12" i="1"/>
  <c r="C14" i="1"/>
  <c r="D14" i="1"/>
  <c r="E16" i="1"/>
  <c r="D16" i="1"/>
  <c r="C16" i="1"/>
  <c r="B4" i="1"/>
  <c r="P110" i="4"/>
  <c r="H110" i="4"/>
  <c r="P109" i="4"/>
  <c r="H109" i="4"/>
  <c r="P108" i="4"/>
  <c r="H108" i="4"/>
  <c r="P107" i="4"/>
  <c r="H107" i="4"/>
  <c r="T106" i="4"/>
  <c r="S106" i="4"/>
  <c r="P106" i="4"/>
  <c r="H106" i="4"/>
  <c r="P105" i="4"/>
  <c r="H105" i="4"/>
  <c r="T104" i="4"/>
  <c r="S104" i="4"/>
  <c r="T103" i="4"/>
  <c r="S103" i="4"/>
  <c r="P103" i="4"/>
  <c r="H103" i="4"/>
  <c r="T102" i="4"/>
  <c r="S102" i="4"/>
  <c r="P102" i="4"/>
  <c r="H102" i="4"/>
  <c r="T101" i="4"/>
  <c r="S101" i="4"/>
  <c r="I100" i="4"/>
  <c r="A100" i="4"/>
  <c r="P99" i="4"/>
  <c r="H99" i="4"/>
  <c r="P98" i="4"/>
  <c r="H98" i="4"/>
  <c r="P97" i="4"/>
  <c r="H97" i="4"/>
  <c r="P96" i="4"/>
  <c r="H96" i="4"/>
  <c r="T95" i="4"/>
  <c r="S95" i="4"/>
  <c r="P95" i="4"/>
  <c r="H95" i="4"/>
  <c r="P94" i="4"/>
  <c r="H94" i="4"/>
  <c r="T93" i="4"/>
  <c r="S93" i="4"/>
  <c r="T92" i="4"/>
  <c r="S92" i="4"/>
  <c r="P92" i="4"/>
  <c r="H92" i="4"/>
  <c r="T91" i="4"/>
  <c r="S91" i="4"/>
  <c r="P91" i="4"/>
  <c r="H91" i="4"/>
  <c r="T90" i="4"/>
  <c r="S90" i="4"/>
  <c r="I89" i="4"/>
  <c r="A89" i="4"/>
  <c r="P88" i="4"/>
  <c r="H88" i="4"/>
  <c r="P87" i="4"/>
  <c r="H87" i="4"/>
  <c r="P86" i="4"/>
  <c r="H86" i="4"/>
  <c r="P85" i="4"/>
  <c r="H85" i="4"/>
  <c r="T84" i="4"/>
  <c r="S84" i="4"/>
  <c r="P84" i="4"/>
  <c r="H84" i="4"/>
  <c r="P83" i="4"/>
  <c r="H83" i="4"/>
  <c r="T82" i="4"/>
  <c r="S82" i="4"/>
  <c r="T81" i="4"/>
  <c r="S81" i="4"/>
  <c r="P81" i="4"/>
  <c r="H81" i="4"/>
  <c r="T80" i="4"/>
  <c r="S80" i="4"/>
  <c r="P80" i="4"/>
  <c r="H80" i="4"/>
  <c r="T79" i="4"/>
  <c r="S79" i="4"/>
  <c r="I78" i="4"/>
  <c r="A78" i="4"/>
  <c r="P77" i="4"/>
  <c r="H77" i="4"/>
  <c r="P76" i="4"/>
  <c r="H76" i="4"/>
  <c r="P75" i="4"/>
  <c r="H75" i="4"/>
  <c r="P74" i="4"/>
  <c r="H74" i="4"/>
  <c r="T73" i="4"/>
  <c r="S73" i="4"/>
  <c r="P73" i="4"/>
  <c r="H73" i="4"/>
  <c r="P72" i="4"/>
  <c r="H72" i="4"/>
  <c r="T71" i="4"/>
  <c r="S71" i="4"/>
  <c r="T70" i="4"/>
  <c r="S70" i="4"/>
  <c r="P70" i="4"/>
  <c r="H70" i="4"/>
  <c r="T69" i="4"/>
  <c r="S69" i="4"/>
  <c r="P69" i="4"/>
  <c r="H69" i="4"/>
  <c r="T68" i="4"/>
  <c r="S68" i="4"/>
  <c r="I67" i="4"/>
  <c r="A67" i="4"/>
  <c r="P66" i="4"/>
  <c r="H66" i="4"/>
  <c r="P65" i="4"/>
  <c r="H65" i="4"/>
  <c r="P64" i="4"/>
  <c r="H64" i="4"/>
  <c r="P63" i="4"/>
  <c r="H63" i="4"/>
  <c r="T62" i="4"/>
  <c r="S62" i="4"/>
  <c r="P62" i="4"/>
  <c r="H62" i="4"/>
  <c r="P61" i="4"/>
  <c r="H61" i="4"/>
  <c r="T60" i="4"/>
  <c r="S60" i="4"/>
  <c r="T59" i="4"/>
  <c r="S59" i="4"/>
  <c r="P59" i="4"/>
  <c r="H59" i="4"/>
  <c r="T58" i="4"/>
  <c r="S58" i="4"/>
  <c r="P58" i="4"/>
  <c r="H58" i="4"/>
  <c r="T57" i="4"/>
  <c r="S57" i="4"/>
  <c r="I56" i="4"/>
  <c r="A56" i="4"/>
  <c r="P55" i="4"/>
  <c r="H55" i="4"/>
  <c r="P54" i="4"/>
  <c r="H54" i="4"/>
  <c r="P53" i="4"/>
  <c r="H53" i="4"/>
  <c r="P52" i="4"/>
  <c r="H52" i="4"/>
  <c r="T51" i="4"/>
  <c r="S51" i="4"/>
  <c r="P51" i="4"/>
  <c r="H51" i="4"/>
  <c r="P50" i="4"/>
  <c r="H50" i="4"/>
  <c r="T49" i="4"/>
  <c r="S49" i="4"/>
  <c r="T48" i="4"/>
  <c r="S48" i="4"/>
  <c r="P48" i="4"/>
  <c r="H48" i="4"/>
  <c r="T47" i="4"/>
  <c r="S47" i="4"/>
  <c r="P47" i="4"/>
  <c r="H47" i="4"/>
  <c r="T46" i="4"/>
  <c r="S46" i="4"/>
  <c r="I45" i="4"/>
  <c r="A45" i="4"/>
  <c r="P44" i="4"/>
  <c r="H44" i="4"/>
  <c r="P43" i="4"/>
  <c r="H43" i="4"/>
  <c r="P42" i="4"/>
  <c r="H42" i="4"/>
  <c r="P41" i="4"/>
  <c r="H41" i="4"/>
  <c r="T40" i="4"/>
  <c r="S40" i="4"/>
  <c r="P40" i="4"/>
  <c r="H40" i="4"/>
  <c r="P39" i="4"/>
  <c r="H39" i="4"/>
  <c r="T38" i="4"/>
  <c r="S38" i="4"/>
  <c r="T37" i="4"/>
  <c r="S37" i="4"/>
  <c r="P37" i="4"/>
  <c r="H37" i="4"/>
  <c r="T36" i="4"/>
  <c r="S36" i="4"/>
  <c r="P36" i="4"/>
  <c r="H36" i="4"/>
  <c r="T35" i="4"/>
  <c r="S35" i="4"/>
  <c r="I34" i="4"/>
  <c r="A34" i="4"/>
  <c r="P33" i="4"/>
  <c r="H33" i="4"/>
  <c r="P32" i="4"/>
  <c r="H32" i="4"/>
  <c r="P31" i="4"/>
  <c r="H31" i="4"/>
  <c r="P30" i="4"/>
  <c r="H30" i="4"/>
  <c r="T29" i="4"/>
  <c r="S29" i="4"/>
  <c r="P29" i="4"/>
  <c r="H29" i="4"/>
  <c r="P28" i="4"/>
  <c r="H28" i="4"/>
  <c r="T27" i="4"/>
  <c r="S27" i="4"/>
  <c r="T26" i="4"/>
  <c r="S26" i="4"/>
  <c r="P26" i="4"/>
  <c r="H26" i="4"/>
  <c r="T25" i="4"/>
  <c r="S25" i="4"/>
  <c r="P25" i="4"/>
  <c r="H25" i="4"/>
  <c r="AE24" i="4" a="1"/>
  <c r="T24" i="4"/>
  <c r="S24" i="4"/>
  <c r="I23" i="4"/>
  <c r="A23" i="4"/>
  <c r="AF22" i="4" a="1"/>
  <c r="AE22" i="4" a="1"/>
  <c r="AB22" i="4"/>
  <c r="AA22" i="4"/>
  <c r="Z22" i="4"/>
  <c r="Y22" i="4"/>
  <c r="P22" i="4"/>
  <c r="H22" i="4"/>
  <c r="AF21" i="4" a="1"/>
  <c r="AE21" i="4" a="1"/>
  <c r="AB21" i="4"/>
  <c r="AA21" i="4"/>
  <c r="Z21" i="4"/>
  <c r="Y21" i="4"/>
  <c r="P21" i="4"/>
  <c r="H21" i="4"/>
  <c r="AF20" i="4" a="1"/>
  <c r="AE20" i="4" a="1"/>
  <c r="AB20" i="4"/>
  <c r="AA20" i="4"/>
  <c r="Z20" i="4"/>
  <c r="Y20" i="4"/>
  <c r="P20" i="4"/>
  <c r="H20" i="4"/>
  <c r="AF19" i="4" a="1"/>
  <c r="AE19" i="4" a="1"/>
  <c r="AB19" i="4"/>
  <c r="AA19" i="4"/>
  <c r="Z19" i="4"/>
  <c r="Y19" i="4"/>
  <c r="P19" i="4"/>
  <c r="H19" i="4"/>
  <c r="AF18" i="4" a="1"/>
  <c r="AE18" i="4" a="1"/>
  <c r="AB18" i="4"/>
  <c r="AA18" i="4"/>
  <c r="Z18" i="4"/>
  <c r="Y18" i="4"/>
  <c r="T18" i="4"/>
  <c r="S18" i="4"/>
  <c r="P18" i="4"/>
  <c r="H18" i="4"/>
  <c r="AF17" i="4" a="1"/>
  <c r="AE17" i="4" a="1"/>
  <c r="AB17" i="4"/>
  <c r="AA17" i="4"/>
  <c r="Z17" i="4"/>
  <c r="Y17" i="4"/>
  <c r="X17" i="4"/>
  <c r="W17" i="4"/>
  <c r="V17" i="4"/>
  <c r="P17" i="4"/>
  <c r="H17" i="4"/>
  <c r="AF16" i="4" a="1"/>
  <c r="AE16" i="4" a="1"/>
  <c r="AB16" i="4"/>
  <c r="AA16" i="4"/>
  <c r="Z16" i="4"/>
  <c r="Y16" i="4"/>
  <c r="X16" i="4"/>
  <c r="W16" i="4"/>
  <c r="V16" i="4"/>
  <c r="T16" i="4"/>
  <c r="S16" i="4"/>
  <c r="AF15" i="4" a="1"/>
  <c r="AE15" i="4" a="1"/>
  <c r="AB15" i="4"/>
  <c r="AA15" i="4"/>
  <c r="Z15" i="4"/>
  <c r="Y15" i="4"/>
  <c r="X15" i="4"/>
  <c r="W15" i="4"/>
  <c r="V15" i="4"/>
  <c r="T15" i="4"/>
  <c r="S15" i="4"/>
  <c r="P15" i="4"/>
  <c r="H15" i="4"/>
  <c r="AF14" i="4" a="1"/>
  <c r="AE14" i="4" a="1"/>
  <c r="AB14" i="4"/>
  <c r="AA14" i="4"/>
  <c r="Z14" i="4"/>
  <c r="Y14" i="4"/>
  <c r="X14" i="4"/>
  <c r="W14" i="4"/>
  <c r="V14" i="4"/>
  <c r="T14" i="4"/>
  <c r="S14" i="4"/>
  <c r="P14" i="4"/>
  <c r="H14" i="4"/>
  <c r="AF13" i="4" a="1"/>
  <c r="AE13" i="4" a="1"/>
  <c r="AB13" i="4"/>
  <c r="AA13" i="4"/>
  <c r="Z13" i="4"/>
  <c r="Y13" i="4"/>
  <c r="X13" i="4"/>
  <c r="W13" i="4"/>
  <c r="V13" i="4"/>
  <c r="T13" i="4"/>
  <c r="S13" i="4"/>
  <c r="AF12" i="4" a="1"/>
  <c r="AE12" i="4" a="1"/>
  <c r="AD12" i="4"/>
  <c r="AC12" i="4"/>
  <c r="AB12" i="4"/>
  <c r="AA12" i="4"/>
  <c r="Z12" i="4"/>
  <c r="Y12" i="4"/>
  <c r="X12" i="4"/>
  <c r="W12" i="4"/>
  <c r="V12" i="4"/>
  <c r="I12" i="4"/>
  <c r="A12" i="4"/>
  <c r="AF11" i="4" a="1"/>
  <c r="AE11" i="4" a="1"/>
  <c r="AD11" i="4"/>
  <c r="AC11" i="4"/>
  <c r="AB11" i="4"/>
  <c r="AA11" i="4"/>
  <c r="Z11" i="4"/>
  <c r="Y11" i="4"/>
  <c r="X11" i="4"/>
  <c r="W11" i="4"/>
  <c r="V11" i="4"/>
  <c r="P11" i="4"/>
  <c r="H11" i="4"/>
  <c r="AF10" i="4" a="1"/>
  <c r="AE10" i="4" a="1"/>
  <c r="AD10" i="4"/>
  <c r="AC10" i="4"/>
  <c r="AB10" i="4"/>
  <c r="AA10" i="4"/>
  <c r="Z10" i="4"/>
  <c r="Y10" i="4"/>
  <c r="X10" i="4"/>
  <c r="W10" i="4"/>
  <c r="V10" i="4"/>
  <c r="P10" i="4"/>
  <c r="H10" i="4"/>
  <c r="AF9" i="4" a="1"/>
  <c r="AE9" i="4" a="1"/>
  <c r="AD9" i="4"/>
  <c r="AC9" i="4"/>
  <c r="AB9" i="4"/>
  <c r="AA9" i="4"/>
  <c r="Z9" i="4"/>
  <c r="Y9" i="4"/>
  <c r="X9" i="4"/>
  <c r="W9" i="4"/>
  <c r="V9" i="4"/>
  <c r="P9" i="4"/>
  <c r="H9" i="4"/>
  <c r="AF8" i="4" a="1"/>
  <c r="AE8" i="4" a="1"/>
  <c r="AD8" i="4"/>
  <c r="AC8" i="4"/>
  <c r="AB8" i="4"/>
  <c r="AA8" i="4"/>
  <c r="Z8" i="4"/>
  <c r="Y8" i="4"/>
  <c r="P8" i="4"/>
  <c r="H8" i="4"/>
  <c r="AF7" i="4" a="1"/>
  <c r="AE7" i="4" a="1"/>
  <c r="AD7" i="4"/>
  <c r="AC7" i="4"/>
  <c r="AB7" i="4"/>
  <c r="AA7" i="4"/>
  <c r="Z7" i="4"/>
  <c r="Y7" i="4"/>
  <c r="X7" i="4"/>
  <c r="W7" i="4"/>
  <c r="V7" i="4"/>
  <c r="T7" i="4"/>
  <c r="S7" i="4"/>
  <c r="P7" i="4"/>
  <c r="H7" i="4"/>
  <c r="AF6" i="4" a="1"/>
  <c r="AE6" i="4" a="1"/>
  <c r="AD6" i="4"/>
  <c r="AC6" i="4"/>
  <c r="AB6" i="4"/>
  <c r="AA6" i="4"/>
  <c r="Z6" i="4"/>
  <c r="Y6" i="4"/>
  <c r="X6" i="4"/>
  <c r="W6" i="4"/>
  <c r="V6" i="4"/>
  <c r="P6" i="4"/>
  <c r="H6" i="4"/>
  <c r="AF5" i="4" a="1"/>
  <c r="AE5" i="4" a="1"/>
  <c r="AD5" i="4"/>
  <c r="AC5" i="4"/>
  <c r="AB5" i="4"/>
  <c r="AA5" i="4"/>
  <c r="Z5" i="4"/>
  <c r="Y5" i="4"/>
  <c r="X5" i="4"/>
  <c r="W5" i="4"/>
  <c r="V5" i="4" a="1"/>
  <c r="V5" i="4"/>
  <c r="T5" i="4"/>
  <c r="S5" i="4"/>
  <c r="AF4" i="4" a="1"/>
  <c r="AE4" i="4" a="1"/>
  <c r="AD4" i="4"/>
  <c r="AC4" i="4"/>
  <c r="AB4" i="4"/>
  <c r="AA4" i="4"/>
  <c r="Z4" i="4"/>
  <c r="Y4" i="4"/>
  <c r="X4" i="4"/>
  <c r="W4" i="4"/>
  <c r="V4" i="4" a="1"/>
  <c r="V4" i="4"/>
  <c r="T4" i="4"/>
  <c r="S4" i="4"/>
  <c r="P4" i="4"/>
  <c r="H4" i="4"/>
  <c r="AF3" i="4" a="1"/>
  <c r="AE3" i="4" a="1"/>
  <c r="AD3" i="4"/>
  <c r="AC3" i="4"/>
  <c r="AB3" i="4"/>
  <c r="AA3" i="4"/>
  <c r="Z3" i="4"/>
  <c r="Y3" i="4"/>
  <c r="X3" i="4"/>
  <c r="W3" i="4"/>
  <c r="V3" i="4" a="1"/>
  <c r="V3" i="4"/>
  <c r="T3" i="4"/>
  <c r="S3" i="4"/>
  <c r="P3" i="4"/>
  <c r="H3" i="4"/>
  <c r="T2" i="4"/>
  <c r="S2" i="4"/>
  <c r="L90" i="2"/>
  <c r="F90" i="2"/>
  <c r="L89" i="2"/>
  <c r="F89" i="2"/>
  <c r="W12" i="2" s="1"/>
  <c r="L88" i="2"/>
  <c r="F88" i="2"/>
  <c r="L87" i="2"/>
  <c r="F87" i="2"/>
  <c r="X12" i="2" s="1"/>
  <c r="P86" i="2"/>
  <c r="O86" i="2"/>
  <c r="L86" i="2"/>
  <c r="P85" i="2"/>
  <c r="O85" i="2"/>
  <c r="L85" i="2"/>
  <c r="F85" i="2"/>
  <c r="F86" i="2" s="1"/>
  <c r="U12" i="2" s="1"/>
  <c r="P84" i="2"/>
  <c r="O84" i="2"/>
  <c r="L84" i="2"/>
  <c r="F84" i="2"/>
  <c r="P83" i="2"/>
  <c r="O83" i="2"/>
  <c r="G82" i="2"/>
  <c r="A82" i="2"/>
  <c r="L81" i="2"/>
  <c r="F81" i="2"/>
  <c r="L80" i="2"/>
  <c r="F80" i="2"/>
  <c r="L79" i="2"/>
  <c r="F79" i="2"/>
  <c r="L78" i="2"/>
  <c r="F78" i="2"/>
  <c r="X11" i="2" s="1"/>
  <c r="P77" i="2"/>
  <c r="O77" i="2"/>
  <c r="L77" i="2"/>
  <c r="F77" i="2"/>
  <c r="U11" i="2" s="1"/>
  <c r="P76" i="2"/>
  <c r="O76" i="2"/>
  <c r="L76" i="2"/>
  <c r="F76" i="2"/>
  <c r="P75" i="2"/>
  <c r="O75" i="2"/>
  <c r="L75" i="2"/>
  <c r="F75" i="2"/>
  <c r="P74" i="2"/>
  <c r="O74" i="2"/>
  <c r="G73" i="2"/>
  <c r="A73" i="2"/>
  <c r="L72" i="2"/>
  <c r="F72" i="2"/>
  <c r="L71" i="2"/>
  <c r="F71" i="2"/>
  <c r="L70" i="2"/>
  <c r="F70" i="2"/>
  <c r="L69" i="2"/>
  <c r="F69" i="2"/>
  <c r="P68" i="2"/>
  <c r="O68" i="2"/>
  <c r="L68" i="2"/>
  <c r="P67" i="2"/>
  <c r="O67" i="2"/>
  <c r="L67" i="2"/>
  <c r="F67" i="2"/>
  <c r="F68" i="2" s="1"/>
  <c r="U10" i="2" s="1"/>
  <c r="P66" i="2"/>
  <c r="O66" i="2"/>
  <c r="L66" i="2"/>
  <c r="F66" i="2"/>
  <c r="P65" i="2"/>
  <c r="O65" i="2"/>
  <c r="G64" i="2"/>
  <c r="A64" i="2"/>
  <c r="L63" i="2"/>
  <c r="F63" i="2"/>
  <c r="L62" i="2"/>
  <c r="F62" i="2"/>
  <c r="L61" i="2"/>
  <c r="F61" i="2"/>
  <c r="V9" i="2" s="1"/>
  <c r="L60" i="2"/>
  <c r="F60" i="2"/>
  <c r="X9" i="2" s="1"/>
  <c r="P59" i="2"/>
  <c r="O59" i="2"/>
  <c r="L59" i="2"/>
  <c r="F59" i="2"/>
  <c r="U9" i="2" s="1"/>
  <c r="P58" i="2"/>
  <c r="O58" i="2"/>
  <c r="L58" i="2"/>
  <c r="F58" i="2"/>
  <c r="P57" i="2"/>
  <c r="O57" i="2"/>
  <c r="L57" i="2"/>
  <c r="F57" i="2"/>
  <c r="P56" i="2"/>
  <c r="O56" i="2"/>
  <c r="G55" i="2"/>
  <c r="A55" i="2"/>
  <c r="L54" i="2"/>
  <c r="F54" i="2"/>
  <c r="L53" i="2"/>
  <c r="F53" i="2"/>
  <c r="L52" i="2"/>
  <c r="F52" i="2"/>
  <c r="L51" i="2"/>
  <c r="F51" i="2"/>
  <c r="X8" i="2" s="1"/>
  <c r="P50" i="2"/>
  <c r="O50" i="2"/>
  <c r="L50" i="2"/>
  <c r="F50" i="2"/>
  <c r="U8" i="2" s="1"/>
  <c r="P49" i="2"/>
  <c r="O49" i="2"/>
  <c r="L49" i="2"/>
  <c r="F49" i="2"/>
  <c r="P48" i="2"/>
  <c r="O48" i="2"/>
  <c r="L48" i="2"/>
  <c r="F48" i="2"/>
  <c r="P47" i="2"/>
  <c r="O47" i="2"/>
  <c r="G46" i="2"/>
  <c r="A46" i="2"/>
  <c r="L45" i="2"/>
  <c r="F45" i="2"/>
  <c r="L44" i="2"/>
  <c r="F44" i="2"/>
  <c r="L43" i="2"/>
  <c r="F43" i="2"/>
  <c r="L42" i="2"/>
  <c r="F42" i="2"/>
  <c r="X7" i="2" s="1"/>
  <c r="P41" i="2"/>
  <c r="O41" i="2"/>
  <c r="L41" i="2"/>
  <c r="P40" i="2"/>
  <c r="O40" i="2"/>
  <c r="L40" i="2"/>
  <c r="F40" i="2"/>
  <c r="F41" i="2" s="1"/>
  <c r="U7" i="2" s="1"/>
  <c r="P39" i="2"/>
  <c r="O39" i="2"/>
  <c r="L39" i="2"/>
  <c r="F39" i="2"/>
  <c r="P38" i="2"/>
  <c r="O38" i="2"/>
  <c r="G37" i="2"/>
  <c r="A37" i="2"/>
  <c r="L36" i="2"/>
  <c r="F36" i="2"/>
  <c r="L35" i="2"/>
  <c r="F35" i="2"/>
  <c r="L34" i="2"/>
  <c r="F34" i="2"/>
  <c r="V6" i="2" s="1"/>
  <c r="L33" i="2"/>
  <c r="F33" i="2"/>
  <c r="X6" i="2" s="1"/>
  <c r="P32" i="2"/>
  <c r="O32" i="2"/>
  <c r="L32" i="2"/>
  <c r="F32" i="2"/>
  <c r="U6" i="2" s="1"/>
  <c r="P31" i="2"/>
  <c r="O31" i="2"/>
  <c r="L31" i="2"/>
  <c r="F31" i="2"/>
  <c r="P30" i="2"/>
  <c r="O30" i="2"/>
  <c r="L30" i="2"/>
  <c r="F30" i="2"/>
  <c r="P29" i="2"/>
  <c r="O29" i="2"/>
  <c r="G28" i="2"/>
  <c r="A28" i="2"/>
  <c r="L27" i="2"/>
  <c r="F27" i="2"/>
  <c r="L26" i="2"/>
  <c r="F26" i="2"/>
  <c r="W5" i="2" s="1"/>
  <c r="L25" i="2"/>
  <c r="F25" i="2"/>
  <c r="Z24" i="2" a="1"/>
  <c r="L24" i="2"/>
  <c r="F24" i="2"/>
  <c r="P23" i="2"/>
  <c r="O23" i="2"/>
  <c r="L23" i="2"/>
  <c r="AA22" i="2" a="1"/>
  <c r="Z22" i="2" a="1"/>
  <c r="W22" i="2"/>
  <c r="V22" i="2"/>
  <c r="U22" i="2"/>
  <c r="P22" i="2"/>
  <c r="O22" i="2"/>
  <c r="L22" i="2"/>
  <c r="F22" i="2"/>
  <c r="AA21" i="2" a="1"/>
  <c r="Z21" i="2" a="1"/>
  <c r="W21" i="2"/>
  <c r="V21" i="2"/>
  <c r="U21" i="2"/>
  <c r="P21" i="2"/>
  <c r="O21" i="2"/>
  <c r="L21" i="2"/>
  <c r="F21" i="2"/>
  <c r="F23" i="2" s="1"/>
  <c r="U5" i="2" s="1"/>
  <c r="AA20" i="2" a="1"/>
  <c r="Z20" i="2" a="1"/>
  <c r="W20" i="2"/>
  <c r="V20" i="2"/>
  <c r="U20" i="2"/>
  <c r="P20" i="2"/>
  <c r="O20" i="2"/>
  <c r="AA19" i="2" a="1"/>
  <c r="Z19" i="2" a="1"/>
  <c r="W19" i="2"/>
  <c r="V19" i="2"/>
  <c r="U19" i="2"/>
  <c r="G19" i="2"/>
  <c r="A19" i="2"/>
  <c r="AA18" i="2" a="1"/>
  <c r="Z18" i="2" a="1"/>
  <c r="W18" i="2"/>
  <c r="V18" i="2"/>
  <c r="U18" i="2"/>
  <c r="L18" i="2"/>
  <c r="F18" i="2"/>
  <c r="AA17" i="2" a="1"/>
  <c r="Z17" i="2" a="1"/>
  <c r="W17" i="2"/>
  <c r="V17" i="2"/>
  <c r="U17" i="2"/>
  <c r="L17" i="2"/>
  <c r="F17" i="2"/>
  <c r="W4" i="2" s="1"/>
  <c r="AA16" i="2" a="1"/>
  <c r="Z16" i="2" a="1"/>
  <c r="W16" i="2"/>
  <c r="V16" i="2"/>
  <c r="U16" i="2"/>
  <c r="T16" i="2"/>
  <c r="S16" i="2"/>
  <c r="R16" i="2"/>
  <c r="L16" i="2"/>
  <c r="F16" i="2"/>
  <c r="V4" i="2" s="1"/>
  <c r="AA15" i="2" a="1"/>
  <c r="Z15" i="2" a="1"/>
  <c r="W15" i="2"/>
  <c r="V15" i="2"/>
  <c r="U15" i="2"/>
  <c r="T15" i="2"/>
  <c r="E15" i="1" s="1"/>
  <c r="S15" i="2"/>
  <c r="D15" i="1" s="1"/>
  <c r="R15" i="2"/>
  <c r="C15" i="1" s="1"/>
  <c r="L15" i="2"/>
  <c r="F15" i="2"/>
  <c r="X4" i="2" s="1"/>
  <c r="AA14" i="2" a="1"/>
  <c r="Z14" i="2" a="1"/>
  <c r="W14" i="2"/>
  <c r="V14" i="2"/>
  <c r="U14" i="2"/>
  <c r="T14" i="2"/>
  <c r="E14" i="1" s="1"/>
  <c r="S14" i="2"/>
  <c r="R14" i="2"/>
  <c r="P14" i="2"/>
  <c r="O14" i="2"/>
  <c r="L14" i="2"/>
  <c r="AA13" i="2" a="1"/>
  <c r="Z13" i="2" a="1"/>
  <c r="W13" i="2"/>
  <c r="V13" i="2"/>
  <c r="U13" i="2"/>
  <c r="T13" i="2"/>
  <c r="E13" i="1" s="1"/>
  <c r="S13" i="2"/>
  <c r="D13" i="1" s="1"/>
  <c r="R13" i="2"/>
  <c r="C13" i="1" s="1"/>
  <c r="P13" i="2"/>
  <c r="O13" i="2"/>
  <c r="L13" i="2"/>
  <c r="F13" i="2"/>
  <c r="AA12" i="2" a="1"/>
  <c r="Z12" i="2" a="1"/>
  <c r="Y12" i="2"/>
  <c r="V12" i="2"/>
  <c r="T12" i="2"/>
  <c r="E12" i="1" s="1"/>
  <c r="S12" i="2"/>
  <c r="R12" i="2"/>
  <c r="P12" i="2"/>
  <c r="O12" i="2"/>
  <c r="L12" i="2"/>
  <c r="F12" i="2"/>
  <c r="F14" i="2" s="1"/>
  <c r="U4" i="2" s="1"/>
  <c r="AA11" i="2" a="1"/>
  <c r="Z11" i="2" a="1"/>
  <c r="Y11" i="2"/>
  <c r="W11" i="2"/>
  <c r="V11" i="2"/>
  <c r="T11" i="2"/>
  <c r="E11" i="1" s="1"/>
  <c r="S11" i="2"/>
  <c r="D11" i="1" s="1"/>
  <c r="R11" i="2"/>
  <c r="C11" i="1" s="1"/>
  <c r="P11" i="2"/>
  <c r="O11" i="2"/>
  <c r="AA10" i="2" a="1"/>
  <c r="Z10" i="2" a="1"/>
  <c r="Y10" i="2"/>
  <c r="X10" i="2"/>
  <c r="W10" i="2"/>
  <c r="V10" i="2"/>
  <c r="T10" i="2"/>
  <c r="S10" i="2"/>
  <c r="R10" i="2"/>
  <c r="G10" i="2"/>
  <c r="A10" i="2"/>
  <c r="AA9" i="2" a="1"/>
  <c r="Z9" i="2" a="1"/>
  <c r="Y9" i="2"/>
  <c r="W9" i="2"/>
  <c r="T9" i="2"/>
  <c r="S9" i="2"/>
  <c r="R9" i="2"/>
  <c r="L9" i="2"/>
  <c r="F9" i="2"/>
  <c r="AA8" i="2" a="1"/>
  <c r="Z8" i="2" a="1"/>
  <c r="Y8" i="2"/>
  <c r="W8" i="2"/>
  <c r="V8" i="2"/>
  <c r="T8" i="2"/>
  <c r="E9" i="1" s="1"/>
  <c r="S8" i="2"/>
  <c r="D9" i="1" s="1"/>
  <c r="R8" i="2"/>
  <c r="C9" i="1" s="1"/>
  <c r="L8" i="2"/>
  <c r="F8" i="2"/>
  <c r="AA7" i="2" a="1"/>
  <c r="Z7" i="2" a="1"/>
  <c r="Y7" i="2"/>
  <c r="W7" i="2"/>
  <c r="V7" i="2"/>
  <c r="L7" i="2"/>
  <c r="F7" i="2"/>
  <c r="V3" i="2" s="1"/>
  <c r="AA6" i="2" a="1"/>
  <c r="Z6" i="2" a="1"/>
  <c r="Y6" i="2"/>
  <c r="W6" i="2"/>
  <c r="L6" i="2"/>
  <c r="F6" i="2"/>
  <c r="X3" i="2" s="1"/>
  <c r="AA5" i="2" a="1"/>
  <c r="Z5" i="2" a="1"/>
  <c r="Y5" i="2"/>
  <c r="X5" i="2"/>
  <c r="V5" i="2"/>
  <c r="P5" i="2"/>
  <c r="O5" i="2"/>
  <c r="L5" i="2"/>
  <c r="AA4" i="2" a="1"/>
  <c r="Z4" i="2" a="1"/>
  <c r="Y4" i="2"/>
  <c r="P4" i="2"/>
  <c r="L4" i="2"/>
  <c r="F4" i="2"/>
  <c r="AA3" i="2" a="1"/>
  <c r="Z3" i="2" a="1"/>
  <c r="Y3" i="2"/>
  <c r="W3" i="2"/>
  <c r="P3" i="2"/>
  <c r="L3" i="2"/>
  <c r="F3" i="2"/>
  <c r="F5" i="2" s="1"/>
  <c r="U3" i="2" s="1"/>
  <c r="P2" i="2"/>
  <c r="O2" i="2"/>
  <c r="M72" i="3"/>
  <c r="L72" i="3"/>
  <c r="K72" i="3"/>
  <c r="J72" i="3"/>
  <c r="M71" i="3"/>
  <c r="L71" i="3"/>
  <c r="K71" i="3"/>
  <c r="J71" i="3"/>
  <c r="M70" i="3"/>
  <c r="L70" i="3"/>
  <c r="K70" i="3"/>
  <c r="J70" i="3"/>
  <c r="M69" i="3"/>
  <c r="L69" i="3"/>
  <c r="K69" i="3"/>
  <c r="J69" i="3"/>
  <c r="M68" i="3"/>
  <c r="L68" i="3"/>
  <c r="K68" i="3"/>
  <c r="J68" i="3"/>
  <c r="M67" i="3"/>
  <c r="L67" i="3"/>
  <c r="K67" i="3"/>
  <c r="J67" i="3"/>
  <c r="M66" i="3"/>
  <c r="L66" i="3"/>
  <c r="K66" i="3"/>
  <c r="J66" i="3"/>
  <c r="M65" i="3"/>
  <c r="L65" i="3"/>
  <c r="K65" i="3"/>
  <c r="J65" i="3"/>
  <c r="M64" i="3"/>
  <c r="L64" i="3"/>
  <c r="K64" i="3"/>
  <c r="J64" i="3"/>
  <c r="M63" i="3"/>
  <c r="L63" i="3"/>
  <c r="K63" i="3"/>
  <c r="J63" i="3"/>
  <c r="M62" i="3"/>
  <c r="L62" i="3"/>
  <c r="K62" i="3"/>
  <c r="J62" i="3"/>
  <c r="M61" i="3"/>
  <c r="L61" i="3"/>
  <c r="K61" i="3"/>
  <c r="J61" i="3"/>
  <c r="M60" i="3"/>
  <c r="L60" i="3"/>
  <c r="K60" i="3"/>
  <c r="J60" i="3"/>
  <c r="M59" i="3"/>
  <c r="L59" i="3"/>
  <c r="K59" i="3"/>
  <c r="J59" i="3"/>
  <c r="M58" i="3"/>
  <c r="L58" i="3"/>
  <c r="K58" i="3"/>
  <c r="J58" i="3"/>
  <c r="M57" i="3"/>
  <c r="L57" i="3"/>
  <c r="K57" i="3"/>
  <c r="J57" i="3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R25" i="3"/>
  <c r="Q25" i="3"/>
  <c r="P25" i="3"/>
  <c r="O25" i="3"/>
  <c r="N25" i="3"/>
  <c r="M25" i="3"/>
  <c r="L25" i="3"/>
  <c r="K25" i="3"/>
  <c r="J25" i="3"/>
  <c r="AH24" i="3"/>
  <c r="AG24" i="3"/>
  <c r="AF24" i="3"/>
  <c r="AE24" i="3"/>
  <c r="AD24" i="3"/>
  <c r="AC24" i="3"/>
  <c r="AH23" i="3"/>
  <c r="AG23" i="3"/>
  <c r="AF23" i="3"/>
  <c r="AE23" i="3"/>
  <c r="AD23" i="3"/>
  <c r="AC23" i="3"/>
  <c r="AB23" i="3"/>
  <c r="AA23" i="3"/>
  <c r="Z23" i="3"/>
  <c r="Y23" i="3"/>
  <c r="X23" i="3"/>
  <c r="W23" i="3"/>
  <c r="U23" i="3"/>
  <c r="T23" i="3"/>
  <c r="S23" i="3"/>
  <c r="R23" i="3"/>
  <c r="Q23" i="3"/>
  <c r="P23" i="3"/>
  <c r="O23" i="3"/>
  <c r="N23" i="3"/>
  <c r="M23" i="3"/>
  <c r="L23" i="3"/>
  <c r="K23" i="3"/>
  <c r="J23" i="3"/>
  <c r="A23" i="3"/>
  <c r="AH22" i="3"/>
  <c r="AG22" i="3"/>
  <c r="AF22" i="3"/>
  <c r="AE22" i="3"/>
  <c r="AD22" i="3"/>
  <c r="AC22" i="3"/>
  <c r="AB22" i="3"/>
  <c r="AA22" i="3"/>
  <c r="Z22" i="3"/>
  <c r="Y22" i="3"/>
  <c r="X22" i="3"/>
  <c r="W22" i="3"/>
  <c r="U22" i="3"/>
  <c r="T22" i="3"/>
  <c r="S22" i="3"/>
  <c r="R22" i="3"/>
  <c r="Q22" i="3"/>
  <c r="P22" i="3"/>
  <c r="O22" i="3"/>
  <c r="N22" i="3"/>
  <c r="M22" i="3"/>
  <c r="L22" i="3"/>
  <c r="K22" i="3"/>
  <c r="J22" i="3"/>
  <c r="A22" i="3"/>
  <c r="AH21" i="3"/>
  <c r="AG21" i="3"/>
  <c r="AF21" i="3"/>
  <c r="AE21" i="3"/>
  <c r="AD21" i="3"/>
  <c r="AC21" i="3"/>
  <c r="AB21" i="3"/>
  <c r="AA21" i="3"/>
  <c r="Z21" i="3"/>
  <c r="Y21" i="3"/>
  <c r="X21" i="3"/>
  <c r="W21" i="3"/>
  <c r="U21" i="3"/>
  <c r="T21" i="3"/>
  <c r="S21" i="3"/>
  <c r="R21" i="3"/>
  <c r="Q21" i="3"/>
  <c r="P21" i="3"/>
  <c r="O21" i="3"/>
  <c r="N21" i="3"/>
  <c r="M21" i="3"/>
  <c r="L21" i="3"/>
  <c r="K21" i="3"/>
  <c r="J21" i="3"/>
  <c r="A21" i="3"/>
  <c r="AH20" i="3"/>
  <c r="AG20" i="3"/>
  <c r="AF20" i="3"/>
  <c r="AE20" i="3"/>
  <c r="AD20" i="3"/>
  <c r="AC20" i="3"/>
  <c r="AB20" i="3"/>
  <c r="AA20" i="3"/>
  <c r="Z20" i="3"/>
  <c r="Y20" i="3"/>
  <c r="X20" i="3"/>
  <c r="W20" i="3"/>
  <c r="U20" i="3"/>
  <c r="T20" i="3"/>
  <c r="S20" i="3"/>
  <c r="R20" i="3"/>
  <c r="Q20" i="3"/>
  <c r="P20" i="3"/>
  <c r="O20" i="3"/>
  <c r="N20" i="3"/>
  <c r="M20" i="3"/>
  <c r="L20" i="3"/>
  <c r="K20" i="3"/>
  <c r="J20" i="3"/>
  <c r="A20" i="3"/>
  <c r="AH19" i="3"/>
  <c r="AG19" i="3"/>
  <c r="AF19" i="3"/>
  <c r="AE19" i="3"/>
  <c r="AD19" i="3"/>
  <c r="AC19" i="3"/>
  <c r="AB19" i="3"/>
  <c r="AA19" i="3"/>
  <c r="Z19" i="3"/>
  <c r="Y19" i="3"/>
  <c r="X19" i="3"/>
  <c r="W19" i="3"/>
  <c r="U19" i="3"/>
  <c r="T19" i="3"/>
  <c r="S19" i="3"/>
  <c r="R19" i="3"/>
  <c r="Q19" i="3"/>
  <c r="P19" i="3"/>
  <c r="O19" i="3"/>
  <c r="N19" i="3"/>
  <c r="M19" i="3"/>
  <c r="L19" i="3"/>
  <c r="K19" i="3"/>
  <c r="J19" i="3"/>
  <c r="A19" i="3"/>
  <c r="AH18" i="3"/>
  <c r="AG18" i="3"/>
  <c r="AF18" i="3"/>
  <c r="AE18" i="3"/>
  <c r="AD18" i="3"/>
  <c r="AC18" i="3"/>
  <c r="AB18" i="3"/>
  <c r="AA18" i="3"/>
  <c r="Z18" i="3"/>
  <c r="Y18" i="3"/>
  <c r="X18" i="3"/>
  <c r="W18" i="3"/>
  <c r="U18" i="3"/>
  <c r="T18" i="3"/>
  <c r="S18" i="3"/>
  <c r="R18" i="3"/>
  <c r="Q18" i="3"/>
  <c r="P18" i="3"/>
  <c r="O18" i="3"/>
  <c r="N18" i="3"/>
  <c r="M18" i="3"/>
  <c r="L18" i="3"/>
  <c r="K18" i="3"/>
  <c r="J18" i="3"/>
  <c r="A18" i="3"/>
  <c r="AH17" i="3"/>
  <c r="AG17" i="3"/>
  <c r="AF17" i="3"/>
  <c r="AE17" i="3"/>
  <c r="AD17" i="3"/>
  <c r="AC17" i="3"/>
  <c r="AB17" i="3"/>
  <c r="AA17" i="3"/>
  <c r="Z17" i="3"/>
  <c r="Y17" i="3"/>
  <c r="X17" i="3"/>
  <c r="W17" i="3"/>
  <c r="U17" i="3"/>
  <c r="T17" i="3"/>
  <c r="S17" i="3"/>
  <c r="R17" i="3"/>
  <c r="Q17" i="3"/>
  <c r="P17" i="3"/>
  <c r="O17" i="3"/>
  <c r="N17" i="3"/>
  <c r="M17" i="3"/>
  <c r="L17" i="3"/>
  <c r="K17" i="3"/>
  <c r="J17" i="3"/>
  <c r="A17" i="3"/>
  <c r="AH16" i="3"/>
  <c r="AG16" i="3"/>
  <c r="AF16" i="3"/>
  <c r="AE16" i="3"/>
  <c r="AD16" i="3"/>
  <c r="AC16" i="3"/>
  <c r="AB16" i="3"/>
  <c r="AA16" i="3"/>
  <c r="Z16" i="3"/>
  <c r="Y16" i="3"/>
  <c r="X16" i="3"/>
  <c r="W16" i="3"/>
  <c r="U16" i="3"/>
  <c r="T16" i="3"/>
  <c r="S16" i="3"/>
  <c r="R16" i="3"/>
  <c r="Q16" i="3"/>
  <c r="P16" i="3"/>
  <c r="O16" i="3"/>
  <c r="N16" i="3"/>
  <c r="M16" i="3"/>
  <c r="L16" i="3"/>
  <c r="K16" i="3"/>
  <c r="J16" i="3"/>
  <c r="A16" i="3"/>
  <c r="AH15" i="3"/>
  <c r="AG15" i="3"/>
  <c r="AF15" i="3"/>
  <c r="AE15" i="3"/>
  <c r="AD15" i="3"/>
  <c r="AC15" i="3"/>
  <c r="AB15" i="3"/>
  <c r="AA15" i="3"/>
  <c r="Z15" i="3"/>
  <c r="Y15" i="3"/>
  <c r="X15" i="3"/>
  <c r="W15" i="3"/>
  <c r="U15" i="3"/>
  <c r="T15" i="3"/>
  <c r="S15" i="3"/>
  <c r="R15" i="3"/>
  <c r="Q15" i="3"/>
  <c r="P15" i="3"/>
  <c r="O15" i="3"/>
  <c r="N15" i="3"/>
  <c r="M15" i="3"/>
  <c r="L15" i="3"/>
  <c r="K15" i="3"/>
  <c r="J15" i="3"/>
  <c r="A15" i="3"/>
  <c r="AH14" i="3"/>
  <c r="AG14" i="3"/>
  <c r="AF14" i="3"/>
  <c r="AE14" i="3"/>
  <c r="AD14" i="3"/>
  <c r="AC14" i="3"/>
  <c r="AB14" i="3"/>
  <c r="AA14" i="3"/>
  <c r="Z14" i="3"/>
  <c r="Y14" i="3"/>
  <c r="X14" i="3"/>
  <c r="W14" i="3"/>
  <c r="U14" i="3"/>
  <c r="T14" i="3"/>
  <c r="S14" i="3"/>
  <c r="R14" i="3"/>
  <c r="Q14" i="3"/>
  <c r="P14" i="3"/>
  <c r="O14" i="3"/>
  <c r="N14" i="3"/>
  <c r="M14" i="3"/>
  <c r="L14" i="3"/>
  <c r="K14" i="3"/>
  <c r="J14" i="3"/>
  <c r="A14" i="3"/>
  <c r="AH13" i="3"/>
  <c r="AG13" i="3"/>
  <c r="AF13" i="3"/>
  <c r="AE13" i="3"/>
  <c r="AD13" i="3"/>
  <c r="AC13" i="3"/>
  <c r="AB13" i="3"/>
  <c r="AA13" i="3"/>
  <c r="Z13" i="3"/>
  <c r="Y13" i="3"/>
  <c r="X13" i="3"/>
  <c r="W13" i="3"/>
  <c r="U13" i="3"/>
  <c r="T13" i="3"/>
  <c r="S13" i="3"/>
  <c r="R13" i="3"/>
  <c r="Q13" i="3"/>
  <c r="P13" i="3"/>
  <c r="O13" i="3"/>
  <c r="N13" i="3"/>
  <c r="M13" i="3"/>
  <c r="L13" i="3"/>
  <c r="K13" i="3"/>
  <c r="J13" i="3"/>
  <c r="A13" i="3"/>
  <c r="AH12" i="3"/>
  <c r="AG12" i="3"/>
  <c r="AF12" i="3"/>
  <c r="AE12" i="3"/>
  <c r="AD12" i="3"/>
  <c r="AC12" i="3"/>
  <c r="AB12" i="3"/>
  <c r="AA12" i="3"/>
  <c r="Z12" i="3"/>
  <c r="Y12" i="3"/>
  <c r="X12" i="3"/>
  <c r="W12" i="3"/>
  <c r="U12" i="3"/>
  <c r="T12" i="3"/>
  <c r="S12" i="3"/>
  <c r="R12" i="3"/>
  <c r="Q12" i="3"/>
  <c r="P12" i="3"/>
  <c r="O12" i="3"/>
  <c r="N12" i="3"/>
  <c r="M12" i="3"/>
  <c r="L12" i="3"/>
  <c r="K12" i="3"/>
  <c r="J12" i="3"/>
  <c r="A12" i="3"/>
  <c r="AH11" i="3"/>
  <c r="AG11" i="3"/>
  <c r="AF11" i="3"/>
  <c r="AE11" i="3"/>
  <c r="AD11" i="3"/>
  <c r="AC11" i="3"/>
  <c r="AB11" i="3"/>
  <c r="AA11" i="3"/>
  <c r="Z11" i="3"/>
  <c r="Y11" i="3"/>
  <c r="X11" i="3"/>
  <c r="W11" i="3"/>
  <c r="U11" i="3"/>
  <c r="T11" i="3"/>
  <c r="S11" i="3"/>
  <c r="R11" i="3"/>
  <c r="Q11" i="3"/>
  <c r="P11" i="3"/>
  <c r="O11" i="3"/>
  <c r="N11" i="3"/>
  <c r="M11" i="3"/>
  <c r="L11" i="3"/>
  <c r="K11" i="3"/>
  <c r="J11" i="3"/>
  <c r="A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U10" i="3"/>
  <c r="T10" i="3"/>
  <c r="S10" i="3"/>
  <c r="R10" i="3"/>
  <c r="Q10" i="3"/>
  <c r="P10" i="3"/>
  <c r="O10" i="3"/>
  <c r="N10" i="3"/>
  <c r="M10" i="3"/>
  <c r="L10" i="3"/>
  <c r="K10" i="3"/>
  <c r="J10" i="3"/>
  <c r="A10" i="3"/>
  <c r="AH9" i="3"/>
  <c r="AG9" i="3"/>
  <c r="AF9" i="3"/>
  <c r="AE9" i="3"/>
  <c r="AD9" i="3"/>
  <c r="AC9" i="3"/>
  <c r="AB9" i="3"/>
  <c r="AA9" i="3"/>
  <c r="Z9" i="3"/>
  <c r="Y9" i="3"/>
  <c r="X9" i="3"/>
  <c r="W9" i="3"/>
  <c r="U9" i="3"/>
  <c r="T9" i="3"/>
  <c r="S9" i="3"/>
  <c r="R9" i="3"/>
  <c r="Q9" i="3"/>
  <c r="P9" i="3"/>
  <c r="O9" i="3"/>
  <c r="N9" i="3"/>
  <c r="M9" i="3"/>
  <c r="L9" i="3"/>
  <c r="K9" i="3"/>
  <c r="J9" i="3"/>
  <c r="A9" i="3"/>
  <c r="AH8" i="3"/>
  <c r="AG8" i="3"/>
  <c r="AF8" i="3"/>
  <c r="AE8" i="3"/>
  <c r="AD8" i="3"/>
  <c r="AC8" i="3"/>
  <c r="AB8" i="3"/>
  <c r="AA8" i="3"/>
  <c r="Z8" i="3"/>
  <c r="Y8" i="3"/>
  <c r="X8" i="3"/>
  <c r="W8" i="3"/>
  <c r="U8" i="3"/>
  <c r="T8" i="3"/>
  <c r="S8" i="3"/>
  <c r="R8" i="3"/>
  <c r="Q8" i="3"/>
  <c r="P8" i="3"/>
  <c r="O8" i="3"/>
  <c r="N8" i="3"/>
  <c r="M8" i="3"/>
  <c r="L8" i="3"/>
  <c r="K8" i="3"/>
  <c r="J8" i="3"/>
  <c r="A8" i="3"/>
  <c r="AH7" i="3"/>
  <c r="AG7" i="3"/>
  <c r="AF7" i="3"/>
  <c r="AE7" i="3"/>
  <c r="AD7" i="3"/>
  <c r="AC7" i="3"/>
  <c r="AB7" i="3"/>
  <c r="AA7" i="3"/>
  <c r="Z7" i="3"/>
  <c r="Y7" i="3"/>
  <c r="X7" i="3"/>
  <c r="W7" i="3"/>
  <c r="U7" i="3"/>
  <c r="T7" i="3"/>
  <c r="S7" i="3"/>
  <c r="R7" i="3"/>
  <c r="Q7" i="3"/>
  <c r="P7" i="3"/>
  <c r="O7" i="3"/>
  <c r="N7" i="3"/>
  <c r="M7" i="3"/>
  <c r="L7" i="3"/>
  <c r="K7" i="3"/>
  <c r="J7" i="3"/>
  <c r="A7" i="3"/>
  <c r="AH6" i="3"/>
  <c r="AG6" i="3"/>
  <c r="AF6" i="3"/>
  <c r="AE6" i="3"/>
  <c r="AD6" i="3"/>
  <c r="AC6" i="3"/>
  <c r="AB6" i="3"/>
  <c r="AA6" i="3"/>
  <c r="Z6" i="3"/>
  <c r="Y6" i="3"/>
  <c r="X6" i="3"/>
  <c r="W6" i="3"/>
  <c r="U6" i="3"/>
  <c r="T6" i="3"/>
  <c r="S6" i="3"/>
  <c r="R6" i="3"/>
  <c r="Q6" i="3"/>
  <c r="P6" i="3"/>
  <c r="O6" i="3"/>
  <c r="N6" i="3"/>
  <c r="M6" i="3"/>
  <c r="L6" i="3"/>
  <c r="K6" i="3"/>
  <c r="J6" i="3"/>
  <c r="A6" i="3"/>
  <c r="AH5" i="3"/>
  <c r="AG5" i="3"/>
  <c r="AF5" i="3"/>
  <c r="AE5" i="3"/>
  <c r="AD5" i="3"/>
  <c r="AC5" i="3"/>
  <c r="AB5" i="3"/>
  <c r="AA5" i="3"/>
  <c r="Z5" i="3"/>
  <c r="Y5" i="3"/>
  <c r="X5" i="3"/>
  <c r="W5" i="3"/>
  <c r="U5" i="3"/>
  <c r="T5" i="3"/>
  <c r="S5" i="3"/>
  <c r="R5" i="3"/>
  <c r="Q5" i="3"/>
  <c r="P5" i="3"/>
  <c r="O5" i="3"/>
  <c r="N5" i="3"/>
  <c r="M5" i="3"/>
  <c r="L5" i="3"/>
  <c r="K5" i="3"/>
  <c r="J5" i="3"/>
  <c r="A5" i="3"/>
  <c r="AH4" i="3"/>
  <c r="AG4" i="3"/>
  <c r="AF4" i="3"/>
  <c r="AE4" i="3"/>
  <c r="AD4" i="3"/>
  <c r="AC4" i="3"/>
  <c r="AB4" i="3"/>
  <c r="AA4" i="3"/>
  <c r="Z4" i="3"/>
  <c r="Y4" i="3"/>
  <c r="X4" i="3"/>
  <c r="W4" i="3"/>
  <c r="U4" i="3"/>
  <c r="T4" i="3"/>
  <c r="S4" i="3"/>
  <c r="R4" i="3"/>
  <c r="Q4" i="3"/>
  <c r="P4" i="3"/>
  <c r="O4" i="3"/>
  <c r="N4" i="3"/>
  <c r="M4" i="3"/>
  <c r="L4" i="3"/>
  <c r="K4" i="3"/>
  <c r="J4" i="3"/>
  <c r="A4" i="3"/>
  <c r="U3" i="3"/>
  <c r="T3" i="3"/>
  <c r="S3" i="3"/>
  <c r="R3" i="3"/>
  <c r="Q3" i="3"/>
  <c r="P3" i="3"/>
  <c r="O3" i="3"/>
  <c r="N3" i="3"/>
  <c r="M3" i="3"/>
  <c r="L3" i="3"/>
  <c r="K3" i="3"/>
  <c r="J3" i="3"/>
  <c r="U2" i="3"/>
  <c r="T2" i="3"/>
  <c r="S2" i="3"/>
  <c r="V25" i="1"/>
  <c r="U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R25" i="1" s="1"/>
  <c r="Q22" i="1"/>
  <c r="P22" i="1"/>
  <c r="O22" i="1"/>
  <c r="N22" i="1"/>
  <c r="M22" i="1"/>
  <c r="Q20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C10" i="1"/>
  <c r="C8" i="1"/>
  <c r="Q3" i="1"/>
  <c r="R2" i="1"/>
  <c r="I65" i="2" s="1"/>
  <c r="Z21" i="2"/>
  <c r="Z14" i="2"/>
  <c r="AE6" i="4"/>
  <c r="AA20" i="2"/>
  <c r="AF13" i="4"/>
  <c r="AF22" i="4"/>
  <c r="AA21" i="2"/>
  <c r="AF20" i="4"/>
  <c r="AE14" i="4"/>
  <c r="Z4" i="2"/>
  <c r="AA11" i="2"/>
  <c r="AF9" i="4"/>
  <c r="AA10" i="2"/>
  <c r="AE7" i="4"/>
  <c r="Z5" i="2"/>
  <c r="Z7" i="2"/>
  <c r="AA13" i="2"/>
  <c r="Z3" i="2"/>
  <c r="AA3" i="2"/>
  <c r="AF14" i="4"/>
  <c r="AF8" i="4"/>
  <c r="AA19" i="2"/>
  <c r="AE5" i="4"/>
  <c r="AF12" i="4"/>
  <c r="AA16" i="2"/>
  <c r="Z13" i="2"/>
  <c r="AE19" i="4"/>
  <c r="Z10" i="2"/>
  <c r="AE22" i="4"/>
  <c r="AA9" i="2"/>
  <c r="Z19" i="2"/>
  <c r="AA14" i="2"/>
  <c r="AE9" i="4"/>
  <c r="AE11" i="4"/>
  <c r="AF4" i="4"/>
  <c r="AF18" i="4"/>
  <c r="AA12" i="2"/>
  <c r="AF21" i="4"/>
  <c r="AA4" i="2"/>
  <c r="Z17" i="2"/>
  <c r="Z18" i="2"/>
  <c r="Z8" i="2"/>
  <c r="AE16" i="4"/>
  <c r="AE15" i="4"/>
  <c r="AE20" i="4"/>
  <c r="AF19" i="4"/>
  <c r="Z15" i="2"/>
  <c r="AE8" i="4"/>
  <c r="AF10" i="4"/>
  <c r="AF15" i="4"/>
  <c r="AA22" i="2"/>
  <c r="Z9" i="2"/>
  <c r="Z12" i="2"/>
  <c r="Z20" i="2"/>
  <c r="Z6" i="2"/>
  <c r="Z16" i="2"/>
  <c r="AE21" i="4"/>
  <c r="AE3" i="4"/>
  <c r="AE17" i="4"/>
  <c r="AF17" i="4"/>
  <c r="AF6" i="4"/>
  <c r="AF7" i="4"/>
  <c r="AA17" i="2"/>
  <c r="AA15" i="2"/>
  <c r="AF3" i="4"/>
  <c r="Z11" i="2"/>
  <c r="AE12" i="4"/>
  <c r="AF11" i="4"/>
  <c r="AE10" i="4"/>
  <c r="Z22" i="2"/>
  <c r="AE13" i="4"/>
  <c r="AF5" i="4"/>
  <c r="AA5" i="2"/>
  <c r="AA6" i="2"/>
  <c r="AA8" i="2"/>
  <c r="AF16" i="4"/>
  <c r="AA18" i="2"/>
  <c r="AE4" i="4"/>
  <c r="AA7" i="2"/>
  <c r="AE18" i="4"/>
  <c r="O3" i="2" l="1"/>
  <c r="B11" i="1"/>
  <c r="B13" i="1"/>
  <c r="B16" i="1"/>
  <c r="B15" i="1"/>
  <c r="B14" i="1"/>
  <c r="B12" i="1"/>
  <c r="B9" i="1"/>
  <c r="O4" i="2"/>
  <c r="M2" i="2" s="1"/>
  <c r="D35" i="4"/>
  <c r="L35" i="4"/>
  <c r="L68" i="4"/>
  <c r="L101" i="4"/>
  <c r="I2" i="2"/>
  <c r="D68" i="4"/>
  <c r="C29" i="2"/>
  <c r="Q35" i="4"/>
  <c r="Q68" i="4"/>
  <c r="Q101" i="4"/>
  <c r="I29" i="2"/>
  <c r="D24" i="4"/>
  <c r="R35" i="4"/>
  <c r="R68" i="4"/>
  <c r="R101" i="4"/>
  <c r="L24" i="4"/>
  <c r="D57" i="4"/>
  <c r="D90" i="4"/>
  <c r="D17" i="1"/>
  <c r="C56" i="2"/>
  <c r="L13" i="4"/>
  <c r="Q24" i="4"/>
  <c r="L57" i="4"/>
  <c r="L90" i="4"/>
  <c r="I38" i="2"/>
  <c r="I56" i="2"/>
  <c r="C74" i="2"/>
  <c r="Q13" i="4"/>
  <c r="R24" i="4"/>
  <c r="Q57" i="4"/>
  <c r="Q90" i="4"/>
  <c r="E18" i="1"/>
  <c r="C38" i="2"/>
  <c r="I74" i="2"/>
  <c r="R57" i="4"/>
  <c r="R90" i="4"/>
  <c r="C83" i="2"/>
  <c r="L2" i="4"/>
  <c r="D46" i="4"/>
  <c r="D79" i="4"/>
  <c r="C17" i="1"/>
  <c r="L79" i="4"/>
  <c r="D2" i="4"/>
  <c r="I83" i="2"/>
  <c r="Q2" i="4"/>
  <c r="L46" i="4"/>
  <c r="Q46" i="4"/>
  <c r="Q79" i="4"/>
  <c r="D13" i="4"/>
  <c r="R13" i="4"/>
  <c r="C2" i="2"/>
  <c r="F13" i="1"/>
  <c r="R46" i="4"/>
  <c r="R79" i="4"/>
  <c r="D101" i="4"/>
  <c r="E17" i="1"/>
  <c r="I11" i="2"/>
  <c r="C47" i="2"/>
  <c r="R2" i="4"/>
  <c r="A4" i="1"/>
  <c r="I47" i="2"/>
  <c r="C11" i="2"/>
  <c r="N74" i="2"/>
  <c r="N26" i="1"/>
  <c r="M74" i="2"/>
  <c r="N83" i="2"/>
  <c r="C18" i="1"/>
  <c r="C20" i="2"/>
  <c r="C65" i="2"/>
  <c r="A3" i="1"/>
  <c r="D18" i="1"/>
  <c r="I20" i="2"/>
  <c r="S5" i="2"/>
  <c r="D5" i="1" s="1"/>
  <c r="T4" i="2"/>
  <c r="E3" i="1" s="1"/>
  <c r="S4" i="2"/>
  <c r="D3" i="1" s="1"/>
  <c r="S3" i="2"/>
  <c r="D2" i="1" s="1"/>
  <c r="T3" i="2"/>
  <c r="E2" i="1" s="1"/>
  <c r="R3" i="2" a="1"/>
  <c r="R3" i="2" s="1"/>
  <c r="C2" i="1" s="1"/>
  <c r="B2" i="1" s="1"/>
  <c r="T5" i="2"/>
  <c r="E5" i="1" s="1"/>
  <c r="T6" i="2"/>
  <c r="E7" i="1" s="1"/>
  <c r="S6" i="2"/>
  <c r="D7" i="1" s="1"/>
  <c r="M83" i="2"/>
  <c r="N2" i="2"/>
  <c r="M47" i="2"/>
  <c r="N47" i="2"/>
  <c r="N38" i="2"/>
  <c r="M38" i="2"/>
  <c r="M29" i="2"/>
  <c r="M65" i="2"/>
  <c r="N65" i="2"/>
  <c r="M56" i="2"/>
  <c r="N56" i="2"/>
  <c r="N29" i="2"/>
  <c r="R27" i="1"/>
  <c r="Q25" i="1"/>
  <c r="M11" i="2"/>
  <c r="N11" i="2"/>
  <c r="M20" i="2"/>
  <c r="N20" i="2"/>
  <c r="AE23" i="4"/>
  <c r="AE24" i="4" s="1"/>
  <c r="AF24" i="4" s="1"/>
  <c r="Z23" i="2"/>
  <c r="Z24" i="2" s="1"/>
  <c r="AA24" i="2" s="1"/>
  <c r="F18" i="1" l="1"/>
  <c r="B18" i="1"/>
  <c r="B17" i="1"/>
  <c r="D6" i="1"/>
  <c r="D4" i="1"/>
  <c r="E6" i="1"/>
  <c r="F17" i="1"/>
  <c r="F15" i="1"/>
  <c r="F9" i="1"/>
  <c r="F12" i="1"/>
  <c r="F16" i="1"/>
  <c r="S24" i="1"/>
  <c r="T22" i="1"/>
  <c r="T25" i="1" s="1"/>
  <c r="T23" i="1"/>
  <c r="R1" i="1"/>
  <c r="F14" i="1"/>
  <c r="T24" i="1"/>
  <c r="F11" i="1"/>
  <c r="S22" i="1"/>
  <c r="S25" i="1" s="1"/>
  <c r="S23" i="1"/>
  <c r="Q4" i="1"/>
  <c r="V27" i="1"/>
  <c r="P27" i="1"/>
  <c r="R26" i="1" s="1"/>
  <c r="N27" i="1"/>
  <c r="R4" i="2" a="1"/>
  <c r="R4" i="2" s="1"/>
  <c r="R6" i="2" a="1"/>
  <c r="R6" i="2" s="1"/>
  <c r="R5" i="2" a="1"/>
  <c r="R5" i="2" s="1"/>
  <c r="E4" i="1"/>
  <c r="F2" i="1"/>
  <c r="C5" i="1" l="1"/>
  <c r="B5" i="1" s="1"/>
  <c r="C6" i="1"/>
  <c r="C7" i="1"/>
  <c r="B7" i="1" s="1"/>
  <c r="F3" i="1"/>
  <c r="C3" i="1"/>
  <c r="B3" i="1" s="1"/>
  <c r="C4" i="1"/>
  <c r="T27" i="1"/>
  <c r="V26" i="1"/>
  <c r="T26" i="1"/>
  <c r="F5" i="1"/>
  <c r="F4" i="1"/>
  <c r="F7" i="1" l="1"/>
  <c r="A1" i="1"/>
  <c r="B6" i="1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<sst xmlns="http://schemas.openxmlformats.org/spreadsheetml/2006/main" count="340" uniqueCount="97">
  <si>
    <t>Conclusion</t>
  </si>
  <si>
    <t>MIN</t>
  </si>
  <si>
    <t>TYP</t>
  </si>
  <si>
    <t>MAX</t>
  </si>
  <si>
    <t>Tolerance</t>
  </si>
  <si>
    <t>IIS MIN</t>
  </si>
  <si>
    <t>IIS</t>
  </si>
  <si>
    <t>IIS MAX</t>
  </si>
  <si>
    <t>IIS Tol</t>
  </si>
  <si>
    <t>HD 5 @ 1/6</t>
  </si>
  <si>
    <t>Brightness</t>
  </si>
  <si>
    <t>Uniformity</t>
  </si>
  <si>
    <t>FHD 9 @ 1/9</t>
  </si>
  <si>
    <t>HD 5 @ 1/9</t>
  </si>
  <si>
    <t>HD 5 @ 1/10</t>
  </si>
  <si>
    <t>Panel to adjust PQ</t>
  </si>
  <si>
    <t>HD 9 @ 1/6</t>
  </si>
  <si>
    <t>Contrast</t>
  </si>
  <si>
    <t>HD 9 @ 1/9</t>
  </si>
  <si>
    <t>Color gamut</t>
  </si>
  <si>
    <t>HD 9 @ 1/10</t>
  </si>
  <si>
    <t>Gamma</t>
  </si>
  <si>
    <t>HD 13 @ 1/6</t>
  </si>
  <si>
    <t>Color temperature</t>
  </si>
  <si>
    <t>HD 13 @ 1/9</t>
  </si>
  <si>
    <t>Tint uniformity</t>
  </si>
  <si>
    <t>HD 13 @ 1/10</t>
  </si>
  <si>
    <t>Red X</t>
  </si>
  <si>
    <t>FHD 5 @ 1/6</t>
  </si>
  <si>
    <t>Red Y</t>
  </si>
  <si>
    <t>FHD 5 @ 1/9</t>
  </si>
  <si>
    <t>Green X</t>
  </si>
  <si>
    <t>FHD 5 @ 1/10</t>
  </si>
  <si>
    <t>Green Y</t>
  </si>
  <si>
    <t>FHD 9 @ 1/6</t>
  </si>
  <si>
    <t>Blue X</t>
  </si>
  <si>
    <t>Blue Y</t>
  </si>
  <si>
    <t>FHD 9 @ 1/10</t>
  </si>
  <si>
    <t>White X</t>
  </si>
  <si>
    <t>FHD 13 @ 1/6</t>
  </si>
  <si>
    <t>White Y</t>
  </si>
  <si>
    <t>FHD 13 @ 1/9</t>
  </si>
  <si>
    <t>FHD 13 @ 1/10</t>
  </si>
  <si>
    <t>NTSC 1953</t>
  </si>
  <si>
    <t>sRGB</t>
  </si>
  <si>
    <t>Measured</t>
  </si>
  <si>
    <t>UHD 5 @ 1/6</t>
  </si>
  <si>
    <t>x</t>
  </si>
  <si>
    <t>y</t>
  </si>
  <si>
    <t>UHD 5 @ 1/9</t>
  </si>
  <si>
    <t>UHD 5 @ 1/10</t>
  </si>
  <si>
    <t>UHD 9 @ 1/6</t>
  </si>
  <si>
    <t>UHD 9 @ 1/9</t>
  </si>
  <si>
    <t>UHD 9 @ 1/10</t>
  </si>
  <si>
    <t>% Color</t>
  </si>
  <si>
    <t>UHD 13 @ 1/6</t>
  </si>
  <si>
    <t>% NTSC</t>
  </si>
  <si>
    <t>NTSC</t>
  </si>
  <si>
    <t>UHD 13 @ 1/9</t>
  </si>
  <si>
    <t>UHD 13 @ 1/10</t>
  </si>
  <si>
    <t>Normal</t>
  </si>
  <si>
    <t>Warm</t>
  </si>
  <si>
    <t>Cool</t>
  </si>
  <si>
    <t>User</t>
  </si>
  <si>
    <t>IRE Normal</t>
  </si>
  <si>
    <t>IRE Warm</t>
  </si>
  <si>
    <t>IRE Cool</t>
  </si>
  <si>
    <t>White</t>
  </si>
  <si>
    <t>Temp</t>
  </si>
  <si>
    <t>Min</t>
  </si>
  <si>
    <t>Norm</t>
  </si>
  <si>
    <t>Max</t>
  </si>
  <si>
    <t>Color temperature of Greyscale</t>
  </si>
  <si>
    <t>Current</t>
  </si>
  <si>
    <t>3,0</t>
  </si>
  <si>
    <t>SN</t>
  </si>
  <si>
    <t>HDMI</t>
  </si>
  <si>
    <t>UF</t>
  </si>
  <si>
    <t>CR</t>
  </si>
  <si>
    <t>CG</t>
  </si>
  <si>
    <t>CT</t>
  </si>
  <si>
    <t>T</t>
  </si>
  <si>
    <t>Gamut</t>
  </si>
  <si>
    <t>工厂模式</t>
  </si>
  <si>
    <t>Temperature</t>
  </si>
  <si>
    <t>UF 1/10</t>
  </si>
  <si>
    <t>UF 1/4</t>
  </si>
  <si>
    <t>Uniformity 1/10</t>
  </si>
  <si>
    <t>Uniformity 1/4</t>
  </si>
  <si>
    <t>工厂模式白黑墙</t>
  </si>
  <si>
    <t>WRGB X-Y
coorditane</t>
  </si>
  <si>
    <t>Contrast by panel</t>
  </si>
  <si>
    <t>Contrast by OC</t>
  </si>
  <si>
    <t>Panel model</t>
  </si>
  <si>
    <t>OC model</t>
  </si>
  <si>
    <t>CX500 DLEDM</t>
  </si>
  <si>
    <t>CHOT CV500U5-T02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</si>
</sst>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%"/>
    <numFmt numFmtId="165" formatCode="0&quot; K&quot;"/>
    <numFmt numFmtId="166" formatCode="0.0"/>
    <numFmt numFmtId="167" formatCode="0.0000"/>
    <numFmt numFmtId="168" formatCode="0&quot;:1&quot;"/>
    <numFmt numFmtId="169" formatCode="0\K"/>
    <numFmt numFmtId="170" formatCode="0.000"/>
    <numFmt numFmtId="171" formatCode="0&quot; %&quot;"/>
    <numFmt numFmtId="172" formatCode="0.00000"/>
    <numFmt numFmtId="173" formatCode="&quot;±&quot;0"/>
    <numFmt numFmtId="174" formatCode="&quot;±&quot;0%"/>
    <numFmt numFmtId="175" formatCode="&quot;±&quot;0&quot;:1&quot;"/>
    <numFmt numFmtId="176" formatCode="&quot;±&quot;0.0%"/>
    <numFmt numFmtId="177" formatCode="&quot;±&quot;0\K"/>
    <numFmt numFmtId="178" formatCode="&quot;±&quot;0.000"/>
  </numFmts>
  <fonts count="23">
    <font>
      <sz val="12"/>
      <color theme="1"/>
      <name val="Calibri"/>
      <charset val="204"/>
      <scheme val="minor"/>
    </font>
    <font>
      <sz val="12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D9D9D9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FFFF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14996795556505021"/>
      <name val="Calibri"/>
      <family val="2"/>
      <scheme val="minor"/>
    </font>
    <font>
      <sz val="16"/>
      <name val="Arial Cyr"/>
      <charset val="204"/>
    </font>
    <font>
      <sz val="16"/>
      <color theme="0" tint="-0.14990691854609822"/>
      <name val="Arial Cyr"/>
      <charset val="204"/>
    </font>
    <font>
      <sz val="16"/>
      <color theme="0" tint="-0.34998626667073579"/>
      <name val="Arial Cyr"/>
      <charset val="204"/>
    </font>
    <font>
      <sz val="16"/>
      <color theme="0" tint="-0.499984740745262"/>
      <name val="Arial Cyr"/>
      <charset val="204"/>
    </font>
    <font>
      <b/>
      <sz val="18"/>
      <color theme="1"/>
      <name val="Calibri"/>
      <family val="2"/>
      <scheme val="minor"/>
    </font>
    <font>
      <sz val="16"/>
      <color theme="1" tint="0.499984740745262"/>
      <name val="Calibri"/>
      <family val="2"/>
      <scheme val="minor"/>
    </font>
    <font>
      <sz val="16"/>
      <color theme="0" tint="-0.34998626667073579"/>
      <name val="Arial"/>
      <family val="2"/>
    </font>
    <font>
      <sz val="16"/>
      <color theme="0" tint="-0.34998626667073579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3"/>
      <color rgb="FF000000"/>
      <name val="Lucida Grande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FA00"/>
        <bgColor rgb="FF000000"/>
      </patternFill>
    </fill>
    <fill>
      <patternFill patternType="solid">
        <fgColor rgb="FF0432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F1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1FFFF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/>
      <diagonal/>
    </border>
    <border>
      <left style="medium">
        <color theme="0" tint="-0.24994659260841701"/>
      </left>
      <right style="hair">
        <color theme="0" tint="-0.499984740745262"/>
      </right>
      <top style="medium">
        <color theme="0" tint="-0.24994659260841701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24994659260841701"/>
      </top>
      <bottom/>
      <diagonal/>
    </border>
    <border>
      <left style="hair">
        <color theme="0" tint="-0.499984740745262"/>
      </left>
      <right style="medium">
        <color theme="0" tint="-0.24994659260841701"/>
      </right>
      <top style="medium">
        <color theme="0" tint="-0.24994659260841701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24994659260841701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24994659260841701"/>
      </top>
      <bottom style="hair">
        <color theme="0" tint="-0.499984740745262"/>
      </bottom>
      <diagonal/>
    </border>
    <border>
      <left/>
      <right style="medium">
        <color theme="0" tint="-0.24994659260841701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2499465926084170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24994659260841701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24994659260841701"/>
      </left>
      <right style="hair">
        <color theme="0" tint="-0.499984740745262"/>
      </right>
      <top style="hair">
        <color theme="0" tint="-0.499984740745262"/>
      </top>
      <bottom style="medium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24994659260841701"/>
      </bottom>
      <diagonal/>
    </border>
    <border>
      <left style="hair">
        <color theme="0" tint="-0.499984740745262"/>
      </left>
      <right style="medium">
        <color theme="0" tint="-0.24994659260841701"/>
      </right>
      <top style="hair">
        <color theme="0" tint="-0.499984740745262"/>
      </top>
      <bottom style="medium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/>
      <bottom style="medium">
        <color theme="0" tint="-0.499984740745262"/>
      </bottom>
      <diagonal/>
    </border>
    <border>
      <left/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20" fillId="0" borderId="0"/>
  </cellStyleXfs>
  <cellXfs count="232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0" fontId="4" fillId="4" borderId="9" xfId="0" applyFont="1" applyFill="1" applyBorder="1" applyAlignment="1" applyProtection="1">
      <alignment horizontal="center" vertical="center"/>
      <protection hidden="1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5" borderId="13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5" borderId="15" xfId="0" applyFont="1" applyFill="1" applyBorder="1" applyAlignment="1" applyProtection="1">
      <alignment horizontal="center" vertical="center"/>
      <protection locked="0"/>
    </xf>
    <xf numFmtId="0" fontId="5" fillId="4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 applyProtection="1">
      <alignment horizontal="center" vertical="center"/>
      <protection locked="0"/>
    </xf>
    <xf numFmtId="0" fontId="5" fillId="4" borderId="20" xfId="0" applyFont="1" applyFill="1" applyBorder="1" applyAlignment="1">
      <alignment horizontal="center" vertical="center"/>
    </xf>
    <xf numFmtId="0" fontId="5" fillId="5" borderId="17" xfId="0" applyFont="1" applyFill="1" applyBorder="1" applyAlignment="1" applyProtection="1">
      <alignment horizontal="center" vertical="center"/>
      <protection locked="0"/>
    </xf>
    <xf numFmtId="0" fontId="5" fillId="5" borderId="21" xfId="0" applyFont="1" applyFill="1" applyBorder="1" applyAlignment="1" applyProtection="1">
      <alignment horizontal="center" vertical="center"/>
      <protection locked="0"/>
    </xf>
    <xf numFmtId="0" fontId="5" fillId="4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 applyProtection="1">
      <alignment horizontal="center" vertical="center"/>
      <protection locked="0"/>
    </xf>
    <xf numFmtId="164" fontId="5" fillId="4" borderId="14" xfId="0" applyNumberFormat="1" applyFont="1" applyFill="1" applyBorder="1" applyAlignment="1" applyProtection="1">
      <alignment horizontal="center" vertical="center"/>
      <protection hidden="1"/>
    </xf>
    <xf numFmtId="0" fontId="5" fillId="4" borderId="24" xfId="0" applyFont="1" applyFill="1" applyBorder="1" applyAlignment="1">
      <alignment horizontal="center" vertical="center"/>
    </xf>
    <xf numFmtId="0" fontId="5" fillId="5" borderId="24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hidden="1"/>
    </xf>
    <xf numFmtId="166" fontId="5" fillId="4" borderId="9" xfId="0" applyNumberFormat="1" applyFont="1" applyFill="1" applyBorder="1" applyAlignment="1" applyProtection="1">
      <alignment horizontal="center" vertical="center"/>
      <protection hidden="1"/>
    </xf>
    <xf numFmtId="1" fontId="5" fillId="4" borderId="9" xfId="0" applyNumberFormat="1" applyFont="1" applyFill="1" applyBorder="1" applyAlignment="1" applyProtection="1">
      <alignment horizontal="center" vertical="center"/>
      <protection hidden="1"/>
    </xf>
    <xf numFmtId="167" fontId="5" fillId="0" borderId="19" xfId="0" applyNumberFormat="1" applyFont="1" applyBorder="1" applyAlignment="1" applyProtection="1">
      <alignment horizontal="center" vertical="center"/>
      <protection locked="0"/>
    </xf>
    <xf numFmtId="167" fontId="5" fillId="7" borderId="19" xfId="0" applyNumberFormat="1" applyFont="1" applyFill="1" applyBorder="1" applyAlignment="1" applyProtection="1">
      <alignment horizontal="center" vertical="center"/>
      <protection locked="0"/>
    </xf>
    <xf numFmtId="167" fontId="5" fillId="8" borderId="19" xfId="0" applyNumberFormat="1" applyFont="1" applyFill="1" applyBorder="1" applyAlignment="1" applyProtection="1">
      <alignment horizontal="center" vertical="center"/>
      <protection locked="0"/>
    </xf>
    <xf numFmtId="167" fontId="8" fillId="9" borderId="19" xfId="0" applyNumberFormat="1" applyFont="1" applyFill="1" applyBorder="1" applyAlignment="1" applyProtection="1">
      <alignment horizontal="center" vertical="center"/>
      <protection locked="0"/>
    </xf>
    <xf numFmtId="164" fontId="5" fillId="4" borderId="9" xfId="0" applyNumberFormat="1" applyFont="1" applyFill="1" applyBorder="1" applyAlignment="1" applyProtection="1">
      <alignment horizontal="center" vertical="center"/>
      <protection hidden="1"/>
    </xf>
    <xf numFmtId="167" fontId="5" fillId="0" borderId="34" xfId="0" applyNumberFormat="1" applyFont="1" applyBorder="1" applyAlignment="1" applyProtection="1">
      <alignment horizontal="center" vertical="center"/>
      <protection locked="0"/>
    </xf>
    <xf numFmtId="167" fontId="5" fillId="7" borderId="34" xfId="0" applyNumberFormat="1" applyFont="1" applyFill="1" applyBorder="1" applyAlignment="1" applyProtection="1">
      <alignment horizontal="center" vertical="center"/>
      <protection locked="0"/>
    </xf>
    <xf numFmtId="167" fontId="5" fillId="8" borderId="34" xfId="0" applyNumberFormat="1" applyFont="1" applyFill="1" applyBorder="1" applyAlignment="1" applyProtection="1">
      <alignment horizontal="center" vertical="center"/>
      <protection locked="0"/>
    </xf>
    <xf numFmtId="167" fontId="8" fillId="9" borderId="34" xfId="0" applyNumberFormat="1" applyFont="1" applyFill="1" applyBorder="1" applyAlignment="1" applyProtection="1">
      <alignment horizontal="center" vertical="center"/>
      <protection locked="0"/>
    </xf>
    <xf numFmtId="167" fontId="5" fillId="4" borderId="35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0" fillId="0" borderId="39" xfId="0" applyBorder="1" applyAlignment="1" applyProtection="1">
      <alignment horizontal="center" vertical="center"/>
      <protection hidden="1"/>
    </xf>
    <xf numFmtId="166" fontId="0" fillId="0" borderId="40" xfId="0" applyNumberFormat="1" applyBorder="1" applyAlignment="1" applyProtection="1">
      <alignment horizontal="center" vertical="center"/>
      <protection hidden="1"/>
    </xf>
    <xf numFmtId="166" fontId="0" fillId="0" borderId="41" xfId="0" applyNumberFormat="1" applyBorder="1" applyAlignment="1" applyProtection="1">
      <alignment horizontal="center" vertical="center"/>
      <protection hidden="1"/>
    </xf>
    <xf numFmtId="0" fontId="9" fillId="0" borderId="42" xfId="0" applyFon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164" fontId="0" fillId="0" borderId="43" xfId="0" applyNumberFormat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8" fontId="0" fillId="0" borderId="43" xfId="0" applyNumberFormat="1" applyBorder="1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0" fontId="0" fillId="0" borderId="43" xfId="0" applyBorder="1" applyAlignment="1" applyProtection="1">
      <alignment horizontal="center" vertical="center"/>
      <protection hidden="1"/>
    </xf>
    <xf numFmtId="169" fontId="0" fillId="0" borderId="0" xfId="0" applyNumberFormat="1" applyAlignment="1" applyProtection="1">
      <alignment horizontal="center" vertical="center"/>
      <protection hidden="1"/>
    </xf>
    <xf numFmtId="169" fontId="0" fillId="0" borderId="43" xfId="0" applyNumberFormat="1" applyBorder="1" applyAlignment="1" applyProtection="1">
      <alignment horizontal="center" vertical="center"/>
      <protection hidden="1"/>
    </xf>
    <xf numFmtId="170" fontId="0" fillId="0" borderId="0" xfId="0" applyNumberFormat="1" applyAlignment="1" applyProtection="1">
      <alignment horizontal="center" vertical="center"/>
      <protection hidden="1"/>
    </xf>
    <xf numFmtId="170" fontId="0" fillId="0" borderId="43" xfId="0" applyNumberFormat="1" applyBorder="1" applyAlignment="1" applyProtection="1">
      <alignment horizontal="center" vertical="center"/>
      <protection hidden="1"/>
    </xf>
    <xf numFmtId="0" fontId="0" fillId="0" borderId="44" xfId="0" applyBorder="1" applyAlignment="1" applyProtection="1">
      <alignment horizontal="center" vertical="center"/>
      <protection hidden="1"/>
    </xf>
    <xf numFmtId="170" fontId="0" fillId="0" borderId="45" xfId="0" applyNumberFormat="1" applyBorder="1" applyAlignment="1" applyProtection="1">
      <alignment horizontal="center" vertical="center"/>
      <protection hidden="1"/>
    </xf>
    <xf numFmtId="170" fontId="0" fillId="0" borderId="46" xfId="0" applyNumberFormat="1" applyBorder="1" applyAlignment="1" applyProtection="1">
      <alignment horizontal="center" vertical="center"/>
      <protection hidden="1"/>
    </xf>
    <xf numFmtId="0" fontId="9" fillId="0" borderId="36" xfId="0" applyFont="1" applyBorder="1" applyAlignment="1" applyProtection="1">
      <alignment horizontal="center" vertical="center"/>
      <protection hidden="1"/>
    </xf>
    <xf numFmtId="0" fontId="9" fillId="0" borderId="37" xfId="0" applyFont="1" applyBorder="1" applyAlignment="1" applyProtection="1">
      <alignment horizontal="center" vertical="center"/>
      <protection hidden="1"/>
    </xf>
    <xf numFmtId="0" fontId="9" fillId="0" borderId="38" xfId="0" applyFont="1" applyBorder="1" applyAlignment="1" applyProtection="1">
      <alignment horizontal="center" vertical="center"/>
      <protection hidden="1"/>
    </xf>
    <xf numFmtId="10" fontId="0" fillId="0" borderId="42" xfId="0" applyNumberFormat="1" applyBorder="1" applyAlignment="1" applyProtection="1">
      <alignment horizontal="center" vertical="center"/>
      <protection hidden="1"/>
    </xf>
    <xf numFmtId="10" fontId="0" fillId="0" borderId="40" xfId="0" applyNumberFormat="1" applyBorder="1" applyAlignment="1" applyProtection="1">
      <alignment horizontal="center" vertical="center"/>
      <protection hidden="1"/>
    </xf>
    <xf numFmtId="10" fontId="0" fillId="0" borderId="43" xfId="0" applyNumberFormat="1" applyBorder="1" applyAlignment="1" applyProtection="1">
      <alignment horizontal="center" vertical="center"/>
      <protection hidden="1"/>
    </xf>
    <xf numFmtId="1" fontId="10" fillId="0" borderId="0" xfId="0" applyNumberFormat="1" applyFont="1" applyAlignment="1" applyProtection="1">
      <alignment horizontal="center" vertical="center"/>
      <protection hidden="1"/>
    </xf>
    <xf numFmtId="1" fontId="0" fillId="0" borderId="0" xfId="0" applyNumberFormat="1" applyAlignment="1" applyProtection="1">
      <alignment horizontal="center" vertical="center"/>
      <protection hidden="1"/>
    </xf>
    <xf numFmtId="10" fontId="0" fillId="0" borderId="0" xfId="0" applyNumberFormat="1" applyAlignment="1" applyProtection="1">
      <alignment horizontal="center" vertical="center"/>
      <protection hidden="1"/>
    </xf>
    <xf numFmtId="10" fontId="0" fillId="0" borderId="44" xfId="0" applyNumberFormat="1" applyBorder="1" applyAlignment="1" applyProtection="1">
      <alignment horizontal="center" vertical="center"/>
      <protection hidden="1"/>
    </xf>
    <xf numFmtId="10" fontId="0" fillId="0" borderId="45" xfId="0" applyNumberFormat="1" applyBorder="1" applyAlignment="1" applyProtection="1">
      <alignment horizontal="center" vertical="center"/>
      <protection hidden="1"/>
    </xf>
    <xf numFmtId="168" fontId="0" fillId="0" borderId="45" xfId="0" applyNumberFormat="1" applyBorder="1" applyAlignment="1" applyProtection="1">
      <alignment horizontal="center" vertical="center"/>
      <protection hidden="1"/>
    </xf>
    <xf numFmtId="10" fontId="0" fillId="0" borderId="46" xfId="0" applyNumberFormat="1" applyBorder="1" applyAlignment="1" applyProtection="1">
      <alignment horizontal="center" vertical="center"/>
      <protection hidden="1"/>
    </xf>
    <xf numFmtId="0" fontId="5" fillId="4" borderId="9" xfId="0" applyFont="1" applyFill="1" applyBorder="1" applyAlignment="1" applyProtection="1">
      <alignment horizontal="center" vertical="center"/>
      <protection hidden="1"/>
    </xf>
    <xf numFmtId="0" fontId="5" fillId="3" borderId="19" xfId="0" applyFont="1" applyFill="1" applyBorder="1" applyAlignment="1" applyProtection="1">
      <alignment horizontal="center" vertical="center"/>
      <protection hidden="1"/>
    </xf>
    <xf numFmtId="0" fontId="6" fillId="2" borderId="19" xfId="0" applyFont="1" applyFill="1" applyBorder="1" applyAlignment="1" applyProtection="1">
      <alignment horizontal="center" vertical="center"/>
      <protection hidden="1"/>
    </xf>
    <xf numFmtId="166" fontId="2" fillId="0" borderId="19" xfId="0" applyNumberFormat="1" applyFont="1" applyBorder="1" applyAlignment="1" applyProtection="1">
      <alignment horizontal="center" vertical="center"/>
      <protection locked="0"/>
    </xf>
    <xf numFmtId="0" fontId="7" fillId="6" borderId="19" xfId="0" applyFont="1" applyFill="1" applyBorder="1" applyAlignment="1" applyProtection="1">
      <alignment horizontal="center" vertical="center"/>
      <protection locked="0"/>
    </xf>
    <xf numFmtId="0" fontId="4" fillId="4" borderId="19" xfId="0" applyFont="1" applyFill="1" applyBorder="1" applyAlignment="1" applyProtection="1">
      <alignment horizontal="center" vertical="center"/>
      <protection hidden="1"/>
    </xf>
    <xf numFmtId="167" fontId="2" fillId="10" borderId="19" xfId="0" applyNumberFormat="1" applyFont="1" applyFill="1" applyBorder="1" applyAlignment="1" applyProtection="1">
      <alignment horizontal="center" vertical="center"/>
      <protection locked="0"/>
    </xf>
    <xf numFmtId="167" fontId="2" fillId="10" borderId="34" xfId="0" applyNumberFormat="1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 applyProtection="1">
      <alignment horizontal="center" vertical="center"/>
      <protection hidden="1"/>
    </xf>
    <xf numFmtId="49" fontId="11" fillId="11" borderId="0" xfId="0" applyNumberFormat="1" applyFont="1" applyFill="1" applyAlignment="1" applyProtection="1">
      <alignment horizontal="center" vertical="center"/>
      <protection hidden="1"/>
    </xf>
    <xf numFmtId="49" fontId="11" fillId="2" borderId="49" xfId="0" applyNumberFormat="1" applyFont="1" applyFill="1" applyBorder="1" applyAlignment="1" applyProtection="1">
      <alignment vertical="center"/>
      <protection hidden="1"/>
    </xf>
    <xf numFmtId="49" fontId="11" fillId="2" borderId="51" xfId="0" applyNumberFormat="1" applyFont="1" applyFill="1" applyBorder="1" applyAlignment="1" applyProtection="1">
      <alignment horizontal="center" vertical="center"/>
      <protection hidden="1"/>
    </xf>
    <xf numFmtId="0" fontId="11" fillId="2" borderId="52" xfId="0" applyFont="1" applyFill="1" applyBorder="1" applyAlignment="1" applyProtection="1">
      <alignment horizontal="center" vertical="center"/>
      <protection hidden="1"/>
    </xf>
    <xf numFmtId="171" fontId="11" fillId="2" borderId="51" xfId="0" applyNumberFormat="1" applyFont="1" applyFill="1" applyBorder="1" applyAlignment="1" applyProtection="1">
      <alignment horizontal="center" vertical="center"/>
      <protection hidden="1"/>
    </xf>
    <xf numFmtId="1" fontId="11" fillId="12" borderId="52" xfId="0" applyNumberFormat="1" applyFont="1" applyFill="1" applyBorder="1" applyAlignment="1" applyProtection="1">
      <alignment horizontal="center" vertical="center"/>
      <protection locked="0"/>
    </xf>
    <xf numFmtId="2" fontId="11" fillId="12" borderId="52" xfId="0" applyNumberFormat="1" applyFont="1" applyFill="1" applyBorder="1" applyAlignment="1" applyProtection="1">
      <alignment horizontal="center" vertical="center"/>
      <protection locked="0"/>
    </xf>
    <xf numFmtId="1" fontId="11" fillId="13" borderId="52" xfId="0" applyNumberFormat="1" applyFont="1" applyFill="1" applyBorder="1" applyAlignment="1" applyProtection="1">
      <alignment horizontal="center" vertical="center"/>
      <protection locked="0"/>
    </xf>
    <xf numFmtId="2" fontId="11" fillId="13" borderId="52" xfId="0" applyNumberFormat="1" applyFont="1" applyFill="1" applyBorder="1" applyAlignment="1" applyProtection="1">
      <alignment horizontal="center" vertical="center"/>
      <protection locked="0"/>
    </xf>
    <xf numFmtId="1" fontId="11" fillId="14" borderId="52" xfId="0" applyNumberFormat="1" applyFont="1" applyFill="1" applyBorder="1" applyAlignment="1" applyProtection="1">
      <alignment horizontal="center" vertical="center"/>
      <protection locked="0"/>
    </xf>
    <xf numFmtId="2" fontId="11" fillId="14" borderId="52" xfId="0" applyNumberFormat="1" applyFont="1" applyFill="1" applyBorder="1" applyAlignment="1" applyProtection="1">
      <alignment horizontal="center" vertical="center"/>
      <protection locked="0"/>
    </xf>
    <xf numFmtId="1" fontId="11" fillId="13" borderId="53" xfId="0" applyNumberFormat="1" applyFont="1" applyFill="1" applyBorder="1" applyAlignment="1" applyProtection="1">
      <alignment horizontal="center" vertical="center"/>
      <protection locked="0"/>
    </xf>
    <xf numFmtId="2" fontId="11" fillId="13" borderId="53" xfId="0" applyNumberFormat="1" applyFont="1" applyFill="1" applyBorder="1" applyAlignment="1" applyProtection="1">
      <alignment horizontal="center" vertical="center"/>
      <protection locked="0"/>
    </xf>
    <xf numFmtId="1" fontId="11" fillId="14" borderId="53" xfId="0" applyNumberFormat="1" applyFont="1" applyFill="1" applyBorder="1" applyAlignment="1" applyProtection="1">
      <alignment horizontal="center" vertical="center"/>
      <protection locked="0"/>
    </xf>
    <xf numFmtId="2" fontId="11" fillId="14" borderId="53" xfId="0" applyNumberFormat="1" applyFont="1" applyFill="1" applyBorder="1" applyAlignment="1" applyProtection="1">
      <alignment horizontal="center" vertical="center"/>
      <protection locked="0"/>
    </xf>
    <xf numFmtId="0" fontId="12" fillId="11" borderId="0" xfId="0" applyFont="1" applyFill="1" applyAlignment="1" applyProtection="1">
      <alignment horizontal="center" vertical="center"/>
      <protection hidden="1"/>
    </xf>
    <xf numFmtId="0" fontId="11" fillId="0" borderId="57" xfId="0" applyFont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hidden="1"/>
    </xf>
    <xf numFmtId="0" fontId="13" fillId="2" borderId="52" xfId="0" applyFont="1" applyFill="1" applyBorder="1" applyAlignment="1" applyProtection="1">
      <alignment horizontal="center" vertical="center"/>
      <protection hidden="1"/>
    </xf>
    <xf numFmtId="0" fontId="13" fillId="2" borderId="60" xfId="0" applyFont="1" applyFill="1" applyBorder="1" applyAlignment="1" applyProtection="1">
      <alignment horizontal="center" vertical="center"/>
      <protection hidden="1"/>
    </xf>
    <xf numFmtId="2" fontId="11" fillId="0" borderId="61" xfId="0" applyNumberFormat="1" applyFont="1" applyBorder="1" applyAlignment="1" applyProtection="1">
      <alignment horizontal="center" vertical="center"/>
      <protection locked="0"/>
    </xf>
    <xf numFmtId="170" fontId="13" fillId="2" borderId="51" xfId="0" applyNumberFormat="1" applyFont="1" applyFill="1" applyBorder="1" applyAlignment="1" applyProtection="1">
      <alignment horizontal="center" vertical="center"/>
      <protection hidden="1"/>
    </xf>
    <xf numFmtId="170" fontId="13" fillId="2" borderId="52" xfId="0" applyNumberFormat="1" applyFont="1" applyFill="1" applyBorder="1" applyAlignment="1" applyProtection="1">
      <alignment horizontal="center" vertical="center"/>
      <protection hidden="1"/>
    </xf>
    <xf numFmtId="170" fontId="13" fillId="2" borderId="60" xfId="0" applyNumberFormat="1" applyFont="1" applyFill="1" applyBorder="1" applyAlignment="1" applyProtection="1">
      <alignment horizontal="center" vertical="center"/>
      <protection hidden="1"/>
    </xf>
    <xf numFmtId="2" fontId="11" fillId="0" borderId="62" xfId="0" applyNumberFormat="1" applyFont="1" applyBorder="1" applyAlignment="1" applyProtection="1">
      <alignment horizontal="center" vertical="center"/>
      <protection locked="0"/>
    </xf>
    <xf numFmtId="0" fontId="11" fillId="11" borderId="0" xfId="0" applyFont="1" applyFill="1" applyAlignment="1" applyProtection="1">
      <alignment vertical="center"/>
      <protection hidden="1"/>
    </xf>
    <xf numFmtId="172" fontId="13" fillId="2" borderId="63" xfId="0" applyNumberFormat="1" applyFont="1" applyFill="1" applyBorder="1" applyAlignment="1" applyProtection="1">
      <alignment horizontal="center" vertical="center"/>
      <protection hidden="1"/>
    </xf>
    <xf numFmtId="172" fontId="13" fillId="2" borderId="53" xfId="0" applyNumberFormat="1" applyFont="1" applyFill="1" applyBorder="1" applyAlignment="1" applyProtection="1">
      <alignment horizontal="center" vertical="center"/>
      <protection hidden="1"/>
    </xf>
    <xf numFmtId="172" fontId="13" fillId="2" borderId="64" xfId="0" applyNumberFormat="1" applyFont="1" applyFill="1" applyBorder="1" applyAlignment="1" applyProtection="1">
      <alignment horizontal="center" vertical="center"/>
      <protection hidden="1"/>
    </xf>
    <xf numFmtId="49" fontId="12" fillId="11" borderId="0" xfId="0" applyNumberFormat="1" applyFont="1" applyFill="1" applyAlignment="1" applyProtection="1">
      <alignment horizontal="center" vertical="center"/>
      <protection hidden="1"/>
    </xf>
    <xf numFmtId="2" fontId="12" fillId="11" borderId="0" xfId="0" applyNumberFormat="1" applyFont="1" applyFill="1" applyAlignment="1" applyProtection="1">
      <alignment horizontal="center" vertical="center"/>
      <protection hidden="1"/>
    </xf>
    <xf numFmtId="0" fontId="14" fillId="11" borderId="0" xfId="0" applyFont="1" applyFill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5" fillId="0" borderId="39" xfId="0" applyFont="1" applyBorder="1" applyAlignment="1" applyProtection="1">
      <alignment horizontal="center" vertical="center"/>
      <protection hidden="1"/>
    </xf>
    <xf numFmtId="0" fontId="2" fillId="0" borderId="40" xfId="0" applyFont="1" applyBorder="1" applyAlignment="1" applyProtection="1">
      <alignment horizontal="center" vertical="center"/>
      <protection hidden="1"/>
    </xf>
    <xf numFmtId="0" fontId="2" fillId="0" borderId="41" xfId="0" applyFont="1" applyBorder="1" applyAlignment="1" applyProtection="1">
      <alignment horizontal="center" vertical="center"/>
      <protection hidden="1"/>
    </xf>
    <xf numFmtId="173" fontId="2" fillId="0" borderId="41" xfId="0" applyNumberFormat="1" applyFont="1" applyBorder="1" applyAlignment="1" applyProtection="1">
      <alignment horizontal="center" vertical="center"/>
      <protection hidden="1"/>
    </xf>
    <xf numFmtId="174" fontId="2" fillId="0" borderId="43" xfId="0" applyNumberFormat="1" applyFont="1" applyBorder="1" applyAlignment="1" applyProtection="1">
      <alignment horizontal="center" vertical="center"/>
      <protection hidden="1"/>
    </xf>
    <xf numFmtId="175" fontId="2" fillId="0" borderId="43" xfId="0" applyNumberFormat="1" applyFont="1" applyBorder="1" applyAlignment="1" applyProtection="1">
      <alignment horizontal="center" vertical="center"/>
      <protection hidden="1"/>
    </xf>
    <xf numFmtId="176" fontId="2" fillId="0" borderId="43" xfId="0" applyNumberFormat="1" applyFont="1" applyBorder="1" applyAlignment="1" applyProtection="1">
      <alignment horizontal="center" vertical="center"/>
      <protection hidden="1"/>
    </xf>
    <xf numFmtId="177" fontId="2" fillId="0" borderId="43" xfId="0" applyNumberFormat="1" applyFont="1" applyBorder="1" applyAlignment="1" applyProtection="1">
      <alignment horizontal="center" vertical="center"/>
      <protection hidden="1"/>
    </xf>
    <xf numFmtId="178" fontId="2" fillId="0" borderId="43" xfId="0" applyNumberFormat="1" applyFont="1" applyBorder="1" applyAlignment="1" applyProtection="1">
      <alignment horizontal="center" vertical="center"/>
      <protection hidden="1"/>
    </xf>
    <xf numFmtId="170" fontId="2" fillId="0" borderId="45" xfId="0" applyNumberFormat="1" applyFont="1" applyBorder="1" applyAlignment="1" applyProtection="1">
      <alignment horizontal="center" vertical="center"/>
      <protection hidden="1"/>
    </xf>
    <xf numFmtId="178" fontId="2" fillId="0" borderId="46" xfId="0" applyNumberFormat="1" applyFont="1" applyBorder="1" applyAlignment="1" applyProtection="1">
      <alignment horizontal="center" vertical="center"/>
      <protection hidden="1"/>
    </xf>
    <xf numFmtId="164" fontId="8" fillId="0" borderId="0" xfId="0" applyNumberFormat="1" applyFont="1" applyAlignment="1" applyProtection="1">
      <alignment horizontal="center" vertical="center"/>
      <protection hidden="1"/>
    </xf>
    <xf numFmtId="0" fontId="2" fillId="0" borderId="68" xfId="0" applyFont="1" applyBorder="1" applyAlignment="1" applyProtection="1">
      <alignment horizontal="center" vertical="center"/>
      <protection hidden="1"/>
    </xf>
    <xf numFmtId="0" fontId="5" fillId="0" borderId="68" xfId="0" applyFont="1" applyBorder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0" fontId="17" fillId="2" borderId="51" xfId="1" applyFont="1" applyFill="1" applyBorder="1" applyAlignment="1" applyProtection="1">
      <alignment horizontal="center" vertical="center"/>
      <protection hidden="1"/>
    </xf>
    <xf numFmtId="0" fontId="17" fillId="2" borderId="60" xfId="1" applyFont="1" applyFill="1" applyBorder="1" applyAlignment="1" applyProtection="1">
      <alignment horizontal="center" vertical="center"/>
      <protection hidden="1"/>
    </xf>
    <xf numFmtId="170" fontId="17" fillId="2" borderId="51" xfId="1" applyNumberFormat="1" applyFont="1" applyFill="1" applyBorder="1" applyAlignment="1" applyProtection="1">
      <alignment horizontal="center" vertical="center"/>
      <protection hidden="1"/>
    </xf>
    <xf numFmtId="170" fontId="17" fillId="2" borderId="60" xfId="1" applyNumberFormat="1" applyFont="1" applyFill="1" applyBorder="1" applyAlignment="1" applyProtection="1">
      <alignment horizontal="center" vertical="center"/>
      <protection hidden="1"/>
    </xf>
    <xf numFmtId="170" fontId="17" fillId="2" borderId="63" xfId="1" applyNumberFormat="1" applyFont="1" applyFill="1" applyBorder="1" applyAlignment="1" applyProtection="1">
      <alignment horizontal="center" vertical="center"/>
      <protection hidden="1"/>
    </xf>
    <xf numFmtId="170" fontId="17" fillId="2" borderId="64" xfId="1" applyNumberFormat="1" applyFont="1" applyFill="1" applyBorder="1" applyAlignment="1" applyProtection="1">
      <alignment horizontal="center" vertical="center"/>
      <protection hidden="1"/>
    </xf>
    <xf numFmtId="0" fontId="18" fillId="2" borderId="69" xfId="0" applyFont="1" applyFill="1" applyBorder="1" applyProtection="1">
      <protection hidden="1"/>
    </xf>
    <xf numFmtId="164" fontId="18" fillId="2" borderId="70" xfId="0" applyNumberFormat="1" applyFont="1" applyFill="1" applyBorder="1" applyAlignment="1" applyProtection="1">
      <alignment horizontal="center" vertical="center"/>
      <protection hidden="1"/>
    </xf>
    <xf numFmtId="0" fontId="18" fillId="2" borderId="70" xfId="0" applyFont="1" applyFill="1" applyBorder="1" applyProtection="1">
      <protection hidden="1"/>
    </xf>
    <xf numFmtId="0" fontId="18" fillId="2" borderId="71" xfId="0" applyFont="1" applyFill="1" applyBorder="1" applyProtection="1">
      <protection hidden="1"/>
    </xf>
    <xf numFmtId="164" fontId="18" fillId="2" borderId="72" xfId="0" applyNumberFormat="1" applyFont="1" applyFill="1" applyBorder="1" applyAlignment="1" applyProtection="1">
      <alignment horizontal="center" vertical="center"/>
      <protection hidden="1"/>
    </xf>
    <xf numFmtId="0" fontId="18" fillId="2" borderId="72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5" fillId="0" borderId="68" xfId="0" applyFont="1" applyBorder="1" applyAlignment="1" applyProtection="1">
      <alignment horizontal="center" vertical="center"/>
      <protection locked="0" hidden="1"/>
    </xf>
    <xf numFmtId="0" fontId="5" fillId="0" borderId="0" xfId="0" applyFont="1" applyProtection="1">
      <protection hidden="1"/>
    </xf>
    <xf numFmtId="164" fontId="2" fillId="0" borderId="0" xfId="0" applyNumberFormat="1" applyFont="1" applyProtection="1">
      <protection hidden="1"/>
    </xf>
    <xf numFmtId="164" fontId="18" fillId="2" borderId="73" xfId="0" applyNumberFormat="1" applyFont="1" applyFill="1" applyBorder="1" applyAlignment="1" applyProtection="1">
      <alignment horizontal="center" vertical="center"/>
      <protection hidden="1"/>
    </xf>
    <xf numFmtId="164" fontId="18" fillId="2" borderId="74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9" fontId="5" fillId="15" borderId="68" xfId="0" applyNumberFormat="1" applyFont="1" applyFill="1" applyBorder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168" fontId="2" fillId="0" borderId="0" xfId="0" applyNumberFormat="1" applyFont="1" applyAlignment="1" applyProtection="1">
      <alignment horizontal="center" vertical="center"/>
      <protection hidden="1"/>
    </xf>
    <xf numFmtId="169" fontId="2" fillId="0" borderId="0" xfId="0" applyNumberFormat="1" applyFont="1" applyAlignment="1" applyProtection="1">
      <alignment horizontal="center" vertical="center"/>
      <protection hidden="1"/>
    </xf>
    <xf numFmtId="170" fontId="2" fillId="0" borderId="0" xfId="0" applyNumberFormat="1" applyFont="1" applyAlignment="1" applyProtection="1">
      <alignment horizontal="center" vertical="center"/>
      <protection hidden="1"/>
    </xf>
    <xf numFmtId="0" fontId="2" fillId="0" borderId="65" xfId="0" applyFont="1" applyBorder="1" applyAlignment="1" applyProtection="1">
      <alignment horizontal="center" vertical="center"/>
      <protection hidden="1"/>
    </xf>
    <xf numFmtId="0" fontId="2" fillId="0" borderId="66" xfId="0" applyFont="1" applyBorder="1" applyAlignment="1" applyProtection="1">
      <alignment horizontal="center" vertical="center"/>
      <protection hidden="1"/>
    </xf>
    <xf numFmtId="0" fontId="2" fillId="0" borderId="67" xfId="0" applyFont="1" applyBorder="1" applyAlignment="1" applyProtection="1">
      <alignment horizontal="center" vertical="center"/>
      <protection hidden="1"/>
    </xf>
    <xf numFmtId="1" fontId="16" fillId="0" borderId="68" xfId="0" applyNumberFormat="1" applyFont="1" applyBorder="1" applyAlignment="1" applyProtection="1">
      <alignment horizontal="center" vertical="center"/>
      <protection hidden="1"/>
    </xf>
    <xf numFmtId="173" fontId="16" fillId="0" borderId="68" xfId="0" applyNumberFormat="1" applyFont="1" applyBorder="1" applyAlignment="1" applyProtection="1">
      <alignment horizontal="center" vertical="center"/>
      <protection hidden="1"/>
    </xf>
    <xf numFmtId="164" fontId="16" fillId="0" borderId="68" xfId="0" applyNumberFormat="1" applyFont="1" applyBorder="1" applyAlignment="1" applyProtection="1">
      <alignment horizontal="center" vertical="center"/>
      <protection hidden="1"/>
    </xf>
    <xf numFmtId="10" fontId="16" fillId="0" borderId="68" xfId="0" applyNumberFormat="1" applyFont="1" applyBorder="1" applyAlignment="1" applyProtection="1">
      <alignment horizontal="center" vertical="center"/>
      <protection hidden="1"/>
    </xf>
    <xf numFmtId="168" fontId="16" fillId="0" borderId="68" xfId="0" applyNumberFormat="1" applyFont="1" applyBorder="1" applyAlignment="1" applyProtection="1">
      <alignment horizontal="center" vertical="center"/>
      <protection hidden="1"/>
    </xf>
    <xf numFmtId="0" fontId="16" fillId="0" borderId="68" xfId="0" applyFont="1" applyBorder="1" applyAlignment="1" applyProtection="1">
      <alignment horizontal="center" vertical="center"/>
      <protection hidden="1"/>
    </xf>
    <xf numFmtId="177" fontId="16" fillId="0" borderId="68" xfId="0" applyNumberFormat="1" applyFont="1" applyBorder="1" applyAlignment="1">
      <alignment horizontal="center" vertical="center"/>
    </xf>
    <xf numFmtId="169" fontId="16" fillId="0" borderId="68" xfId="0" applyNumberFormat="1" applyFont="1" applyBorder="1" applyAlignment="1" applyProtection="1">
      <alignment horizontal="center" vertical="center"/>
      <protection hidden="1"/>
    </xf>
    <xf numFmtId="177" fontId="16" fillId="0" borderId="68" xfId="0" applyNumberFormat="1" applyFont="1" applyBorder="1" applyAlignment="1" applyProtection="1">
      <alignment horizontal="center" vertical="center"/>
      <protection hidden="1"/>
    </xf>
    <xf numFmtId="170" fontId="16" fillId="0" borderId="68" xfId="0" applyNumberFormat="1" applyFont="1" applyBorder="1" applyAlignment="1">
      <alignment horizontal="center" vertical="center"/>
    </xf>
    <xf numFmtId="170" fontId="16" fillId="15" borderId="68" xfId="0" applyNumberFormat="1" applyFont="1" applyFill="1" applyBorder="1" applyAlignment="1">
      <alignment horizontal="center" vertical="center"/>
    </xf>
    <xf numFmtId="178" fontId="16" fillId="0" borderId="68" xfId="0" applyNumberFormat="1" applyFont="1" applyBorder="1" applyAlignment="1" applyProtection="1">
      <alignment horizontal="center" vertical="center"/>
      <protection hidden="1"/>
    </xf>
    <xf numFmtId="164" fontId="5" fillId="0" borderId="68" xfId="0" applyNumberFormat="1" applyFont="1" applyBorder="1" applyAlignment="1" applyProtection="1">
      <alignment horizontal="center" vertical="center"/>
      <protection hidden="1"/>
    </xf>
    <xf numFmtId="0" fontId="2" fillId="0" borderId="39" xfId="0" applyFont="1" applyBorder="1" applyProtection="1">
      <protection hidden="1"/>
    </xf>
    <xf numFmtId="0" fontId="2" fillId="0" borderId="42" xfId="0" applyFont="1" applyBorder="1" applyProtection="1">
      <protection hidden="1"/>
    </xf>
    <xf numFmtId="0" fontId="5" fillId="0" borderId="42" xfId="0" applyFont="1" applyBorder="1" applyProtection="1">
      <protection hidden="1"/>
    </xf>
    <xf numFmtId="0" fontId="2" fillId="0" borderId="44" xfId="0" applyFont="1" applyBorder="1" applyProtection="1">
      <protection hidden="1"/>
    </xf>
    <xf numFmtId="0" fontId="2" fillId="0" borderId="39" xfId="0" applyFont="1" applyBorder="1" applyAlignment="1" applyProtection="1">
      <alignment horizontal="center" vertical="center"/>
      <protection hidden="1"/>
    </xf>
    <xf numFmtId="0" fontId="17" fillId="2" borderId="49" xfId="1" applyFont="1" applyFill="1" applyBorder="1" applyAlignment="1" applyProtection="1">
      <alignment horizontal="center" vertical="center"/>
      <protection hidden="1"/>
    </xf>
    <xf numFmtId="0" fontId="17" fillId="2" borderId="59" xfId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43" xfId="0" applyFont="1" applyBorder="1" applyAlignment="1" applyProtection="1">
      <alignment horizontal="center" vertical="center"/>
      <protection hidden="1"/>
    </xf>
    <xf numFmtId="169" fontId="2" fillId="0" borderId="0" xfId="0" applyNumberFormat="1" applyFont="1" applyAlignment="1" applyProtection="1">
      <alignment horizontal="center" vertical="center"/>
      <protection hidden="1"/>
    </xf>
    <xf numFmtId="169" fontId="2" fillId="0" borderId="43" xfId="0" applyNumberFormat="1" applyFont="1" applyBorder="1" applyAlignment="1" applyProtection="1">
      <alignment horizontal="center" vertical="center"/>
      <protection hidden="1"/>
    </xf>
    <xf numFmtId="0" fontId="5" fillId="15" borderId="68" xfId="0" applyFont="1" applyFill="1" applyBorder="1" applyAlignment="1" applyProtection="1">
      <alignment horizontal="center" vertical="center"/>
      <protection hidden="1"/>
    </xf>
    <xf numFmtId="0" fontId="2" fillId="0" borderId="68" xfId="0" applyFont="1" applyBorder="1" applyAlignment="1" applyProtection="1">
      <alignment horizontal="center" vertical="center"/>
      <protection hidden="1"/>
    </xf>
    <xf numFmtId="0" fontId="13" fillId="2" borderId="49" xfId="0" applyFont="1" applyFill="1" applyBorder="1" applyAlignment="1" applyProtection="1">
      <alignment horizontal="center" vertical="center"/>
      <protection hidden="1"/>
    </xf>
    <xf numFmtId="0" fontId="13" fillId="2" borderId="50" xfId="0" applyFont="1" applyFill="1" applyBorder="1" applyAlignment="1" applyProtection="1">
      <alignment horizontal="center" vertical="center"/>
      <protection hidden="1"/>
    </xf>
    <xf numFmtId="0" fontId="13" fillId="2" borderId="59" xfId="0" applyFont="1" applyFill="1" applyBorder="1" applyAlignment="1" applyProtection="1">
      <alignment horizontal="center" vertical="center"/>
      <protection hidden="1"/>
    </xf>
    <xf numFmtId="0" fontId="11" fillId="2" borderId="54" xfId="0" applyFont="1" applyFill="1" applyBorder="1" applyAlignment="1" applyProtection="1">
      <alignment horizontal="center" vertical="center"/>
      <protection hidden="1"/>
    </xf>
    <xf numFmtId="0" fontId="11" fillId="2" borderId="55" xfId="0" applyFont="1" applyFill="1" applyBorder="1" applyAlignment="1" applyProtection="1">
      <alignment horizontal="center" vertical="center"/>
      <protection hidden="1"/>
    </xf>
    <xf numFmtId="0" fontId="11" fillId="2" borderId="56" xfId="0" applyFont="1" applyFill="1" applyBorder="1" applyAlignment="1" applyProtection="1">
      <alignment horizontal="center" vertical="center"/>
      <protection hidden="1"/>
    </xf>
    <xf numFmtId="49" fontId="11" fillId="2" borderId="50" xfId="0" applyNumberFormat="1" applyFont="1" applyFill="1" applyBorder="1" applyAlignment="1" applyProtection="1">
      <alignment horizontal="center" vertical="center"/>
      <protection hidden="1"/>
    </xf>
    <xf numFmtId="49" fontId="11" fillId="2" borderId="58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31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48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5" fillId="4" borderId="29" xfId="0" applyFont="1" applyFill="1" applyBorder="1" applyAlignment="1" applyProtection="1">
      <alignment horizontal="center" vertical="center"/>
      <protection hidden="1"/>
    </xf>
    <xf numFmtId="0" fontId="5" fillId="4" borderId="47" xfId="0" applyFont="1" applyFill="1" applyBorder="1" applyAlignment="1" applyProtection="1">
      <alignment horizontal="center" vertical="center"/>
      <protection hidden="1"/>
    </xf>
    <xf numFmtId="0" fontId="5" fillId="4" borderId="30" xfId="0" applyFont="1" applyFill="1" applyBorder="1" applyAlignment="1" applyProtection="1">
      <alignment horizontal="center" vertical="center"/>
      <protection hidden="1"/>
    </xf>
    <xf numFmtId="165" fontId="5" fillId="0" borderId="19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167" fontId="2" fillId="2" borderId="6" xfId="0" applyNumberFormat="1" applyFont="1" applyFill="1" applyBorder="1" applyAlignment="1">
      <alignment horizontal="center" vertical="center" wrapText="1"/>
    </xf>
    <xf numFmtId="167" fontId="2" fillId="2" borderId="8" xfId="0" applyNumberFormat="1" applyFont="1" applyFill="1" applyBorder="1" applyAlignment="1">
      <alignment horizontal="center" vertical="center"/>
    </xf>
    <xf numFmtId="167" fontId="2" fillId="2" borderId="32" xfId="0" applyNumberFormat="1" applyFont="1" applyFill="1" applyBorder="1" applyAlignment="1">
      <alignment horizontal="center" vertical="center"/>
    </xf>
    <xf numFmtId="167" fontId="2" fillId="2" borderId="33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 applyProtection="1">
      <alignment horizontal="center" vertical="center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5" fillId="4" borderId="8" xfId="0" applyFont="1" applyFill="1" applyBorder="1" applyAlignment="1" applyProtection="1">
      <alignment horizontal="center" vertical="center"/>
      <protection hidden="1"/>
    </xf>
    <xf numFmtId="165" fontId="5" fillId="0" borderId="26" xfId="0" applyNumberFormat="1" applyFont="1" applyBorder="1" applyAlignment="1" applyProtection="1">
      <alignment horizontal="center" vertical="center"/>
      <protection locked="0" hidden="1"/>
    </xf>
    <xf numFmtId="165" fontId="5" fillId="0" borderId="27" xfId="0" applyNumberFormat="1" applyFont="1" applyBorder="1" applyAlignment="1" applyProtection="1">
      <alignment horizontal="center" vertical="center"/>
      <protection locked="0" hidden="1"/>
    </xf>
    <xf numFmtId="165" fontId="5" fillId="0" borderId="28" xfId="0" applyNumberFormat="1" applyFont="1" applyBorder="1" applyAlignment="1" applyProtection="1">
      <alignment horizontal="center" vertical="center"/>
      <protection locked="0" hidden="1"/>
    </xf>
    <xf numFmtId="0" fontId="6" fillId="2" borderId="29" xfId="0" applyFont="1" applyFill="1" applyBorder="1" applyAlignment="1" applyProtection="1">
      <alignment horizontal="center" vertical="center"/>
      <protection hidden="1"/>
    </xf>
    <xf numFmtId="0" fontId="6" fillId="2" borderId="30" xfId="0" applyFont="1" applyFill="1" applyBorder="1" applyAlignment="1" applyProtection="1">
      <alignment horizontal="center" vertical="center"/>
      <protection hidden="1"/>
    </xf>
    <xf numFmtId="166" fontId="2" fillId="0" borderId="29" xfId="0" applyNumberFormat="1" applyFont="1" applyBorder="1" applyAlignment="1" applyProtection="1">
      <alignment horizontal="center" vertical="center"/>
      <protection locked="0"/>
    </xf>
    <xf numFmtId="166" fontId="2" fillId="0" borderId="30" xfId="0" applyNumberFormat="1" applyFont="1" applyBorder="1" applyAlignment="1" applyProtection="1">
      <alignment horizontal="center" vertical="center"/>
      <protection locked="0"/>
    </xf>
    <xf numFmtId="0" fontId="7" fillId="6" borderId="29" xfId="0" applyFont="1" applyFill="1" applyBorder="1" applyAlignment="1" applyProtection="1">
      <alignment horizontal="center" vertical="center"/>
      <protection locked="0"/>
    </xf>
    <xf numFmtId="0" fontId="7" fillId="6" borderId="30" xfId="0" applyFont="1" applyFill="1" applyBorder="1" applyAlignment="1" applyProtection="1">
      <alignment horizontal="center" vertical="center"/>
      <protection locked="0"/>
    </xf>
    <xf numFmtId="0" fontId="16" fillId="0" borderId="75" xfId="0" applyFont="1" applyBorder="1" applyAlignment="1" applyProtection="1">
      <alignment horizontal="center" vertical="center"/>
      <protection locked="0"/>
    </xf>
    <xf numFmtId="164" fontId="16" fillId="0" borderId="76" xfId="0" applyNumberFormat="1" applyFont="1" applyBorder="1" applyAlignment="1" applyProtection="1">
      <alignment horizontal="center" vertical="center"/>
      <protection locked="0"/>
    </xf>
    <xf numFmtId="168" fontId="16" fillId="0" borderId="76" xfId="0" applyNumberFormat="1" applyFont="1" applyBorder="1" applyAlignment="1" applyProtection="1">
      <alignment horizontal="center" vertical="center"/>
      <protection locked="0"/>
    </xf>
    <xf numFmtId="169" fontId="16" fillId="0" borderId="76" xfId="0" applyNumberFormat="1" applyFont="1" applyBorder="1" applyAlignment="1" applyProtection="1">
      <alignment horizontal="center" vertical="center"/>
      <protection locked="0"/>
    </xf>
    <xf numFmtId="1" fontId="16" fillId="0" borderId="77" xfId="0" applyNumberFormat="1" applyFont="1" applyBorder="1" applyAlignment="1" applyProtection="1">
      <alignment horizontal="center" vertical="center"/>
      <protection locked="0"/>
    </xf>
    <xf numFmtId="164" fontId="16" fillId="0" borderId="78" xfId="0" applyNumberFormat="1" applyFont="1" applyBorder="1" applyAlignment="1" applyProtection="1">
      <alignment horizontal="center" vertical="center"/>
      <protection locked="0"/>
    </xf>
    <xf numFmtId="168" fontId="16" fillId="0" borderId="78" xfId="0" applyNumberFormat="1" applyFont="1" applyBorder="1" applyAlignment="1" applyProtection="1">
      <alignment horizontal="center" vertical="center"/>
      <protection locked="0"/>
    </xf>
    <xf numFmtId="169" fontId="16" fillId="0" borderId="78" xfId="0" applyNumberFormat="1" applyFont="1" applyBorder="1" applyAlignment="1" applyProtection="1">
      <alignment horizontal="center" vertical="center"/>
      <protection locked="0"/>
    </xf>
  </cellXfs>
  <cellStyles count="2">
    <cellStyle name="Normal_++New Measurements-2007-6-1 #1-John" xfId="1" xr:uid="{00000000-0005-0000-0000-000031000000}"/>
    <cellStyle name="Обычный" xfId="0" builtinId="0"/>
  </cellStyles>
  <dxfs count="8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 tint="-0.2499465926084170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 tint="-0.2499465926084170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  <fill>
        <patternFill patternType="none"/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b/>
        <i val="0"/>
        <color rgb="FF00B05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B7"/>
      <color rgb="FFB7B7FF"/>
      <color rgb="FFFFB7B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357633843418199E-2"/>
          <c:y val="3.7657261866610101E-2"/>
          <c:w val="0.88928012366326303"/>
          <c:h val="0.883059920377570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Statistics!$M$20</c:f>
              <c:strCache>
                <c:ptCount val="1"/>
                <c:pt idx="0">
                  <c:v>NTSC 1953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>
                  <a:alpha val="100000"/>
                </a:srgbClr>
              </a:solidFill>
              <a:ln w="6350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  <a:effectLst/>
            </c:spPr>
          </c:marker>
          <c:xVal>
            <c:numRef>
              <c:f>Statistics!$M$22:$M$25</c:f>
              <c:numCache>
                <c:formatCode>0.000</c:formatCode>
                <c:ptCount val="4"/>
                <c:pt idx="0">
                  <c:v>0.67400000000000004</c:v>
                </c:pt>
                <c:pt idx="1">
                  <c:v>0.218</c:v>
                </c:pt>
                <c:pt idx="2">
                  <c:v>0.14000000000000001</c:v>
                </c:pt>
                <c:pt idx="3">
                  <c:v>0.67400000000000004</c:v>
                </c:pt>
              </c:numCache>
            </c:numRef>
          </c:xVal>
          <c:yVal>
            <c:numRef>
              <c:f>Statistics!$N$22:$N$25</c:f>
              <c:numCache>
                <c:formatCode>0.000</c:formatCode>
                <c:ptCount val="4"/>
                <c:pt idx="0">
                  <c:v>0.32600000000000001</c:v>
                </c:pt>
                <c:pt idx="1">
                  <c:v>0.71199999999999997</c:v>
                </c:pt>
                <c:pt idx="2">
                  <c:v>0.08</c:v>
                </c:pt>
                <c:pt idx="3">
                  <c:v>0.32600000000000001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D-384B-9ED2-B578ADF69DE0}"/>
            </c:ext>
          </c:extLst>
        </c:ser>
        <c:ser>
          <c:idx val="6"/>
          <c:order val="1"/>
          <c:tx>
            <c:strRef>
              <c:f>Statistics!$O$20</c:f>
              <c:strCache>
                <c:ptCount val="1"/>
                <c:pt idx="0">
                  <c:v>sRGB</c:v>
                </c:pt>
              </c:strCache>
            </c:strRef>
          </c:tx>
          <c:spPr>
            <a:ln w="19050" cap="rnd" cmpd="sng" algn="ctr">
              <a:solidFill>
                <a:srgbClr val="0070C0"/>
              </a:solidFill>
              <a:prstDash val="solid"/>
              <a:round/>
            </a:ln>
          </c:spPr>
          <c:marker>
            <c:symbol val="plus"/>
            <c:size val="7"/>
            <c:spPr>
              <a:noFill/>
              <a:ln w="6350" cap="flat" cmpd="sng" algn="ctr">
                <a:solidFill>
                  <a:srgbClr val="0070C0"/>
                </a:solidFill>
                <a:prstDash val="solid"/>
                <a:round/>
              </a:ln>
              <a:effectLst/>
            </c:spPr>
          </c:marker>
          <c:xVal>
            <c:numRef>
              <c:f>Statistics!$O$22:$O$25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Statistics!$P$22:$P$25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7D-384B-9ED2-B578ADF69DE0}"/>
            </c:ext>
          </c:extLst>
        </c:ser>
        <c:ser>
          <c:idx val="1"/>
          <c:order val="2"/>
          <c:tx>
            <c:strRef>
              <c:f>Statistics!$Q$20</c:f>
              <c:strCache>
                <c:ptCount val="1"/>
                <c:pt idx="0">
                  <c:v>IIS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xVal>
            <c:numRef>
              <c:f>Statistics!$Q$22:$Q$25</c:f>
              <c:numCache>
                <c:formatCode>0.000</c:formatCode>
                <c:ptCount val="4"/>
                <c:pt idx="0">
                  <c:v>0.66</c:v>
                </c:pt>
                <c:pt idx="1">
                  <c:v>0.28000000000000003</c:v>
                </c:pt>
                <c:pt idx="2">
                  <c:v>0.155</c:v>
                </c:pt>
                <c:pt idx="3">
                  <c:v>0.66</c:v>
                </c:pt>
              </c:numCache>
            </c:numRef>
          </c:xVal>
          <c:yVal>
            <c:numRef>
              <c:f>Statistics!$R$22:$R$25</c:f>
              <c:numCache>
                <c:formatCode>0.000</c:formatCode>
                <c:ptCount val="4"/>
                <c:pt idx="0">
                  <c:v>0.31</c:v>
                </c:pt>
                <c:pt idx="1">
                  <c:v>0.66</c:v>
                </c:pt>
                <c:pt idx="2">
                  <c:v>5.5E-2</c:v>
                </c:pt>
                <c:pt idx="3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7D-384B-9ED2-B578ADF69DE0}"/>
            </c:ext>
          </c:extLst>
        </c:ser>
        <c:ser>
          <c:idx val="2"/>
          <c:order val="3"/>
          <c:tx>
            <c:strRef>
              <c:f>Statistics!$S$20</c:f>
              <c:strCache>
                <c:ptCount val="1"/>
                <c:pt idx="0">
                  <c:v>Measured</c:v>
                </c:pt>
              </c:strCache>
            </c:strRef>
          </c:tx>
          <c:spPr>
            <a:ln w="19050" cap="rnd" cmpd="sng" algn="ctr">
              <a:solidFill>
                <a:schemeClr val="bg1"/>
              </a:solidFill>
              <a:prstDash val="solid"/>
              <a:round/>
            </a:ln>
          </c:spPr>
          <c:xVal>
            <c:numRef>
              <c:f>Statistics!$S$22:$S$25</c:f>
              <c:numCache>
                <c:formatCode>0.000</c:formatCode>
                <c:ptCount val="4"/>
                <c:pt idx="0">
                  <c:v>0.63600000000000001</c:v>
                </c:pt>
                <c:pt idx="1">
                  <c:v>0.311</c:v>
                </c:pt>
                <c:pt idx="2">
                  <c:v>0.156</c:v>
                </c:pt>
                <c:pt idx="3">
                  <c:v>0.63600000000000001</c:v>
                </c:pt>
              </c:numCache>
            </c:numRef>
          </c:xVal>
          <c:yVal>
            <c:numRef>
              <c:f>Statistics!$T$22:$T$25</c:f>
              <c:numCache>
                <c:formatCode>0.000</c:formatCode>
                <c:ptCount val="4"/>
                <c:pt idx="0">
                  <c:v>0.32900000000000001</c:v>
                </c:pt>
                <c:pt idx="1">
                  <c:v>0.61499999999999999</c:v>
                </c:pt>
                <c:pt idx="2">
                  <c:v>4.9000000000000002E-2</c:v>
                </c:pt>
                <c:pt idx="3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7D-384B-9ED2-B578ADF69DE0}"/>
            </c:ext>
          </c:extLst>
        </c:ser>
        <c:ser>
          <c:idx val="3"/>
          <c:order val="4"/>
          <c:tx>
            <c:v>IIS White</c:v>
          </c:tx>
          <c:spPr>
            <a:ln w="19050" cap="rnd" cmpd="sng" algn="ctr">
              <a:solidFill>
                <a:srgbClr val="00B0F0"/>
              </a:solidFill>
              <a:prstDash val="solid"/>
              <a:round/>
            </a:ln>
          </c:spPr>
          <c:marker>
            <c:spPr>
              <a:solidFill>
                <a:srgbClr val="00B0F0"/>
              </a:solidFill>
            </c:spPr>
          </c:marker>
          <c:xVal>
            <c:numRef>
              <c:f>Statistics!$H$17</c:f>
              <c:numCache>
                <c:formatCode>0.000</c:formatCode>
                <c:ptCount val="1"/>
                <c:pt idx="0">
                  <c:v>0.28000000000000003</c:v>
                </c:pt>
              </c:numCache>
            </c:numRef>
          </c:xVal>
          <c:yVal>
            <c:numRef>
              <c:f>Statistics!$H$18</c:f>
              <c:numCache>
                <c:formatCode>0.000</c:formatCode>
                <c:ptCount val="1"/>
                <c:pt idx="0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7D-384B-9ED2-B578ADF69DE0}"/>
            </c:ext>
          </c:extLst>
        </c:ser>
        <c:ser>
          <c:idx val="4"/>
          <c:order val="5"/>
          <c:tx>
            <c:v>Measured White</c:v>
          </c:tx>
          <c:spPr>
            <a:ln w="19050" cap="rnd" cmpd="sng" algn="ctr">
              <a:solidFill>
                <a:schemeClr val="bg1"/>
              </a:solidFill>
              <a:prstDash val="solid"/>
              <a:round/>
            </a:ln>
          </c:spPr>
          <c:marker>
            <c:spPr>
              <a:solidFill>
                <a:schemeClr val="bg1"/>
              </a:solidFill>
            </c:spPr>
          </c:marker>
          <c:xVal>
            <c:numRef>
              <c:f>Statistics!$D$17</c:f>
              <c:numCache>
                <c:formatCode>0.000</c:formatCode>
                <c:ptCount val="1"/>
                <c:pt idx="0">
                  <c:v>0.28199999999999997</c:v>
                </c:pt>
              </c:numCache>
            </c:numRef>
          </c:xVal>
          <c:yVal>
            <c:numRef>
              <c:f>Statistics!$D$18</c:f>
              <c:numCache>
                <c:formatCode>0.000</c:formatCode>
                <c:ptCount val="1"/>
                <c:pt idx="0">
                  <c:v>0.29299999999999998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7D-384B-9ED2-B578ADF6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927568"/>
        <c:axId val="-1507090432"/>
      </c:scatterChart>
      <c:valAx>
        <c:axId val="-1506927568"/>
        <c:scaling>
          <c:orientation val="minMax"/>
          <c:max val="0.8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effectLst>
                  <a:outerShdw blurRad="50800" dist="50800" dir="5400000" algn="ctr" rotWithShape="0">
                    <a:schemeClr val="bg1">
                      <a:lumMod val="75000"/>
                    </a:schemeClr>
                  </a:outerShdw>
                </a:effectLst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ru-RU"/>
          </a:p>
        </c:txPr>
        <c:crossAx val="-1507090432"/>
        <c:crosses val="autoZero"/>
        <c:crossBetween val="midCat"/>
      </c:valAx>
      <c:valAx>
        <c:axId val="-1507090432"/>
        <c:scaling>
          <c:orientation val="minMax"/>
          <c:max val="0.9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effectLst>
                  <a:outerShdw blurRad="50800" dist="50800" dir="5400000" algn="ctr" rotWithShape="0">
                    <a:schemeClr val="bg1">
                      <a:lumMod val="75000"/>
                    </a:schemeClr>
                  </a:outerShdw>
                </a:effectLst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ru-RU"/>
          </a:p>
        </c:txPr>
        <c:crossAx val="-150692756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rgbClr val="000000"/>
              </a:solidFill>
              <a:effectLst>
                <a:outerShdw blurRad="50800" dist="50800" dir="5400000" algn="ctr" rotWithShape="0">
                  <a:schemeClr val="bg1">
                    <a:lumMod val="75000"/>
                  </a:schemeClr>
                </a:outerShdw>
              </a:effectLst>
              <a:latin typeface="Arial" panose="020B0604020202020204"/>
              <a:ea typeface="Arial" panose="020B0604020202020204"/>
              <a:cs typeface="Arial" panose="020B0604020202020204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200" b="0" i="0" u="none" strike="noStrike" baseline="0">
          <a:solidFill>
            <a:srgbClr val="000000"/>
          </a:solidFill>
          <a:effectLst>
            <a:outerShdw blurRad="50800" dist="50800" dir="5400000" algn="ctr" rotWithShape="0">
              <a:schemeClr val="bg1">
                <a:lumMod val="75000"/>
              </a:schemeClr>
            </a:outerShdw>
          </a:effectLst>
          <a:latin typeface="Arial" panose="020B0604020202020204"/>
          <a:ea typeface="Arial" panose="020B0604020202020204"/>
          <a:cs typeface="Arial" panose="020B0604020202020204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Color</a:t>
            </a:r>
            <a:r>
              <a:rPr lang="en-US" baseline="0"/>
              <a:t> temperature of grey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Measured Warm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Gamma!$D$3:$D$23</c:f>
              <c:numCache>
                <c:formatCode>0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0-EF46-89A5-C04C71D0ADC6}"/>
            </c:ext>
          </c:extLst>
        </c:ser>
        <c:ser>
          <c:idx val="1"/>
          <c:order val="1"/>
          <c:tx>
            <c:v> Measured Normal</c:v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Gamma!$B$3:$B$23</c:f>
              <c:numCache>
                <c:formatCode>0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0-EF46-89A5-C04C71D0ADC6}"/>
            </c:ext>
          </c:extLst>
        </c:ser>
        <c:ser>
          <c:idx val="2"/>
          <c:order val="2"/>
          <c:tx>
            <c:v>Measured Cool</c:v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Gamma!$F$3:$F$23</c:f>
              <c:numCache>
                <c:formatCode>0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F0-EF46-89A5-C04C71D0ADC6}"/>
            </c:ext>
          </c:extLst>
        </c:ser>
        <c:ser>
          <c:idx val="3"/>
          <c:order val="3"/>
          <c:tx>
            <c:v> Correct Warm</c:v>
          </c:tx>
          <c:spPr>
            <a:ln w="34925" cap="rnd">
              <a:solidFill>
                <a:srgbClr val="FFB7B7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Gamma!$T$3:$T$23</c:f>
              <c:numCache>
                <c:formatCode>General</c:formatCode>
                <c:ptCount val="21"/>
                <c:pt idx="0">
                  <c:v>6500</c:v>
                </c:pt>
                <c:pt idx="1">
                  <c:v>6500</c:v>
                </c:pt>
                <c:pt idx="2">
                  <c:v>6500</c:v>
                </c:pt>
                <c:pt idx="3">
                  <c:v>6500</c:v>
                </c:pt>
                <c:pt idx="4">
                  <c:v>6500</c:v>
                </c:pt>
                <c:pt idx="5">
                  <c:v>6500</c:v>
                </c:pt>
                <c:pt idx="6">
                  <c:v>6500</c:v>
                </c:pt>
                <c:pt idx="7">
                  <c:v>6500</c:v>
                </c:pt>
                <c:pt idx="8">
                  <c:v>6500</c:v>
                </c:pt>
                <c:pt idx="9">
                  <c:v>6500</c:v>
                </c:pt>
                <c:pt idx="10">
                  <c:v>6500</c:v>
                </c:pt>
                <c:pt idx="11">
                  <c:v>6500</c:v>
                </c:pt>
                <c:pt idx="12">
                  <c:v>6500</c:v>
                </c:pt>
                <c:pt idx="13">
                  <c:v>6500</c:v>
                </c:pt>
                <c:pt idx="14">
                  <c:v>6500</c:v>
                </c:pt>
                <c:pt idx="15">
                  <c:v>6500</c:v>
                </c:pt>
                <c:pt idx="16">
                  <c:v>6500</c:v>
                </c:pt>
                <c:pt idx="17">
                  <c:v>6500</c:v>
                </c:pt>
                <c:pt idx="18">
                  <c:v>6500</c:v>
                </c:pt>
                <c:pt idx="19">
                  <c:v>6500</c:v>
                </c:pt>
                <c:pt idx="20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F0-EF46-89A5-C04C71D0ADC6}"/>
            </c:ext>
          </c:extLst>
        </c:ser>
        <c:ser>
          <c:idx val="4"/>
          <c:order val="4"/>
          <c:tx>
            <c:v> Correct Normal</c:v>
          </c:tx>
          <c:spPr>
            <a:ln w="34925" cap="rnd">
              <a:solidFill>
                <a:srgbClr val="FFFFB7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Gamma!$S$3:$S$23</c:f>
              <c:numCache>
                <c:formatCode>General</c:formatCode>
                <c:ptCount val="21"/>
                <c:pt idx="0">
                  <c:v>9300</c:v>
                </c:pt>
                <c:pt idx="1">
                  <c:v>9300</c:v>
                </c:pt>
                <c:pt idx="2">
                  <c:v>9300</c:v>
                </c:pt>
                <c:pt idx="3">
                  <c:v>9300</c:v>
                </c:pt>
                <c:pt idx="4">
                  <c:v>9300</c:v>
                </c:pt>
                <c:pt idx="5">
                  <c:v>9300</c:v>
                </c:pt>
                <c:pt idx="6">
                  <c:v>9300</c:v>
                </c:pt>
                <c:pt idx="7">
                  <c:v>9300</c:v>
                </c:pt>
                <c:pt idx="8">
                  <c:v>9300</c:v>
                </c:pt>
                <c:pt idx="9">
                  <c:v>9300</c:v>
                </c:pt>
                <c:pt idx="10">
                  <c:v>9300</c:v>
                </c:pt>
                <c:pt idx="11">
                  <c:v>9300</c:v>
                </c:pt>
                <c:pt idx="12">
                  <c:v>9300</c:v>
                </c:pt>
                <c:pt idx="13">
                  <c:v>9300</c:v>
                </c:pt>
                <c:pt idx="14">
                  <c:v>9300</c:v>
                </c:pt>
                <c:pt idx="15">
                  <c:v>9300</c:v>
                </c:pt>
                <c:pt idx="16">
                  <c:v>9300</c:v>
                </c:pt>
                <c:pt idx="17">
                  <c:v>9300</c:v>
                </c:pt>
                <c:pt idx="18">
                  <c:v>9300</c:v>
                </c:pt>
                <c:pt idx="19">
                  <c:v>9300</c:v>
                </c:pt>
                <c:pt idx="20">
                  <c:v>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F0-EF46-89A5-C04C71D0ADC6}"/>
            </c:ext>
          </c:extLst>
        </c:ser>
        <c:ser>
          <c:idx val="5"/>
          <c:order val="5"/>
          <c:tx>
            <c:v> Correct Cool</c:v>
          </c:tx>
          <c:spPr>
            <a:ln w="34925" cap="rnd">
              <a:solidFill>
                <a:srgbClr val="B7B7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Gamma!$U$3:$U$23</c:f>
              <c:numCache>
                <c:formatCode>General</c:formatCode>
                <c:ptCount val="21"/>
                <c:pt idx="0">
                  <c:v>11000</c:v>
                </c:pt>
                <c:pt idx="1">
                  <c:v>11000</c:v>
                </c:pt>
                <c:pt idx="2">
                  <c:v>11000</c:v>
                </c:pt>
                <c:pt idx="3">
                  <c:v>11000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11000</c:v>
                </c:pt>
                <c:pt idx="8">
                  <c:v>11000</c:v>
                </c:pt>
                <c:pt idx="9">
                  <c:v>11000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11000</c:v>
                </c:pt>
                <c:pt idx="17">
                  <c:v>11000</c:v>
                </c:pt>
                <c:pt idx="18">
                  <c:v>11000</c:v>
                </c:pt>
                <c:pt idx="19">
                  <c:v>11000</c:v>
                </c:pt>
                <c:pt idx="20">
                  <c:v>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F0-EF46-89A5-C04C71D0A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7333136"/>
        <c:axId val="-1507834752"/>
      </c:lineChart>
      <c:catAx>
        <c:axId val="-1507333136"/>
        <c:scaling>
          <c:orientation val="minMax"/>
        </c:scaling>
        <c:delete val="0"/>
        <c:axPos val="b"/>
        <c:numFmt formatCode="0&quot; 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07834752"/>
        <c:crosses val="autoZero"/>
        <c:auto val="1"/>
        <c:lblAlgn val="ctr"/>
        <c:lblOffset val="100"/>
        <c:noMultiLvlLbl val="0"/>
      </c:catAx>
      <c:valAx>
        <c:axId val="-1507834752"/>
        <c:scaling>
          <c:orientation val="minMax"/>
          <c:max val="20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0733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Grayscale Response (Log)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Gamma!$K$51</c:f>
              <c:strCache>
                <c:ptCount val="1"/>
                <c:pt idx="0">
                  <c:v>3,0</c:v>
                </c:pt>
              </c:strCache>
            </c:strRef>
          </c:tx>
          <c:spPr>
            <a:ln w="28575" cap="rnd">
              <a:solidFill>
                <a:srgbClr val="FFB7B7"/>
              </a:solidFill>
              <a:round/>
            </a:ln>
            <a:effectLst/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Gamma!$K$52:$K$72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A-AC4F-9D05-B3BF8E5B784D}"/>
            </c:ext>
          </c:extLst>
        </c:ser>
        <c:ser>
          <c:idx val="2"/>
          <c:order val="1"/>
          <c:tx>
            <c:strRef>
              <c:f>Gamma!$L$51</c:f>
              <c:strCache>
                <c:ptCount val="1"/>
                <c:pt idx="0">
                  <c:v>2,2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Gamma!$L$52:$L$72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A-AC4F-9D05-B3BF8E5B784D}"/>
            </c:ext>
          </c:extLst>
        </c:ser>
        <c:ser>
          <c:idx val="3"/>
          <c:order val="2"/>
          <c:tx>
            <c:strRef>
              <c:f>Gamma!$M$51</c:f>
              <c:strCache>
                <c:ptCount val="1"/>
                <c:pt idx="0">
                  <c:v>1,9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Gamma!$M$52:$M$72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A-AC4F-9D05-B3BF8E5B784D}"/>
            </c:ext>
          </c:extLst>
        </c:ser>
        <c:ser>
          <c:idx val="0"/>
          <c:order val="3"/>
          <c:tx>
            <c:strRef>
              <c:f>Gamma!$J$51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Gamma!$A$3:$A$23</c:f>
              <c:numCache>
                <c:formatCode>0" %"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Gamma!$J$52:$J$72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BA-AC4F-9D05-B3BF8E5B7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7128048"/>
        <c:axId val="-1477852176"/>
      </c:lineChart>
      <c:catAx>
        <c:axId val="-1507128048"/>
        <c:scaling>
          <c:orientation val="minMax"/>
        </c:scaling>
        <c:delete val="0"/>
        <c:axPos val="b"/>
        <c:numFmt formatCode="0&quot; 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77852176"/>
        <c:crosses val="autoZero"/>
        <c:auto val="1"/>
        <c:lblAlgn val="ctr"/>
        <c:lblOffset val="100"/>
        <c:noMultiLvlLbl val="0"/>
      </c:catAx>
      <c:valAx>
        <c:axId val="-14778521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071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K23" noThreeD="1"/>
</file>

<file path=xl/ctrlProps/ctrlProp2.xml><?xml version="1.0" encoding="utf-8"?>
<formControlPr xmlns="http://schemas.microsoft.com/office/spreadsheetml/2009/9/main" objectType="CheckBox" fmlaLink="K25" noThreeD="1"/>
</file>

<file path=xl/ctrlProps/ctrlProp3.xml><?xml version="1.0" encoding="utf-8"?>
<formControlPr xmlns="http://schemas.microsoft.com/office/spreadsheetml/2009/9/main" objectType="CheckBox" checked="Checked" fmlaLink="K27" noThreeD="1"/>
</file>

<file path=xl/ctrlProps/ctrlProp4.xml><?xml version="1.0" encoding="utf-8"?>
<formControlPr xmlns="http://schemas.microsoft.com/office/spreadsheetml/2009/9/main" objectType="CheckBox" checked="Checked" fmlaLink="K29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10</xdr:col>
      <xdr:colOff>146756</xdr:colOff>
      <xdr:row>59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137160</xdr:colOff>
          <xdr:row>21</xdr:row>
          <xdr:rowOff>205740</xdr:rowOff>
        </xdr:from>
        <xdr:to>
          <xdr:col>11</xdr:col>
          <xdr:colOff>495300</xdr:colOff>
          <xdr:row>23</xdr:row>
          <xdr:rowOff>53339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/>
                </a:rPr>
                <a:t>NTSC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137160</xdr:colOff>
          <xdr:row>23</xdr:row>
          <xdr:rowOff>205740</xdr:rowOff>
        </xdr:from>
        <xdr:to>
          <xdr:col>11</xdr:col>
          <xdr:colOff>495300</xdr:colOff>
          <xdr:row>25</xdr:row>
          <xdr:rowOff>53340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/>
                </a:rPr>
                <a:t>sRGB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137160</xdr:colOff>
          <xdr:row>25</xdr:row>
          <xdr:rowOff>205740</xdr:rowOff>
        </xdr:from>
        <xdr:to>
          <xdr:col>11</xdr:col>
          <xdr:colOff>495300</xdr:colOff>
          <xdr:row>27</xdr:row>
          <xdr:rowOff>53340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/>
                </a:rPr>
                <a:t>IIS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137160</xdr:colOff>
          <xdr:row>27</xdr:row>
          <xdr:rowOff>205740</xdr:rowOff>
        </xdr:from>
        <xdr:to>
          <xdr:col>11</xdr:col>
          <xdr:colOff>495300</xdr:colOff>
          <xdr:row>29</xdr:row>
          <xdr:rowOff>53341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Measured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63500</xdr:rowOff>
    </xdr:from>
    <xdr:to>
      <xdr:col>9</xdr:col>
      <xdr:colOff>0</xdr:colOff>
      <xdr:row>48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</xdr:colOff>
      <xdr:row>23</xdr:row>
      <xdr:rowOff>57150</xdr:rowOff>
    </xdr:from>
    <xdr:to>
      <xdr:col>18</xdr:col>
      <xdr:colOff>25400</xdr:colOff>
      <xdr:row>48</xdr:row>
      <xdr:rowOff>215900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zoomScale="55" zoomScaleNormal="55" workbookViewId="0">
      <selection activeCell="H7" sqref="H7"/>
    </sheetView>
  </sheetViews>
  <sheetFormatPr defaultColWidth="10.796875" defaultRowHeight="21"/>
  <cols>
    <col min="1" max="1" width="32.296875" style="115" customWidth="1"/>
    <col min="2" max="2" width="18.19921875" style="116" customWidth="1"/>
    <col min="3" max="5" width="10.796875" style="116"/>
    <col min="6" max="6" width="13.69921875" style="116" customWidth="1"/>
    <col min="7" max="7" width="11.69921875" style="116" customWidth="1"/>
    <col min="8" max="8" width="12.69921875" style="116" customWidth="1"/>
    <col min="9" max="10" width="10.796875" style="116"/>
    <col min="11" max="11" width="15.296875" style="115" customWidth="1"/>
    <col min="12" max="12" width="12.296875" style="115" customWidth="1"/>
    <col min="13" max="16" width="10.796875" style="115"/>
    <col min="17" max="17" width="27.69921875" style="115" customWidth="1"/>
    <col min="18" max="16384" width="10.796875" style="115"/>
  </cols>
  <sheetData>
    <row r="1" spans="1:24" ht="23.4">
      <c r="A1" s="117" t="str">
        <f>CONCATENATE(IF(OR(B2="Not checked",B3="Not checked",B5="Not checked",B7="Not checked",B9="Not checked",B17="Not checked",B18="Not checked",B11="Not checked",B12="Not checked",B13="Not checked",B14="Not checked",B15="Not checked",B16="Not checked"),"Not fully checked","")," ",IFERROR(IF(OR(NOT(K2),NOT(K3),NOT(K5),NOT(K7),NOT(K9),NOT(K17),NOT(K18),NOT(K11),NOT(K12),NOT(K13),NOT(K14),NOT(K15),NOT(K16)),"FAIL","PASS"),""))</f>
        <v xml:space="preserve"> </v>
      </c>
      <c r="B1" s="177" t="s">
        <v>0</v>
      </c>
      <c r="C1" s="118" t="s">
        <v>1</v>
      </c>
      <c r="D1" s="118" t="s">
        <v>2</v>
      </c>
      <c r="E1" s="118" t="s">
        <v>3</v>
      </c>
      <c r="F1" s="119" t="s">
        <v>4</v>
      </c>
      <c r="G1" s="118" t="s">
        <v>5</v>
      </c>
      <c r="H1" s="118" t="s">
        <v>6</v>
      </c>
      <c r="I1" s="118" t="s">
        <v>7</v>
      </c>
      <c r="J1" s="119" t="s">
        <v>8</v>
      </c>
      <c r="K1" s="129" t="s">
        <v>94</v>
      </c>
      <c r="L1" s="184" t="s">
        <v>96</v>
      </c>
      <c r="M1" s="184"/>
      <c r="N1" s="184"/>
      <c r="O1" s="185" t="s">
        <v>4</v>
      </c>
      <c r="P1" s="185"/>
      <c r="Q1" s="172">
        <v>6.5000000000000002E-2</v>
      </c>
      <c r="R1" s="131" t="b">
        <f>IF(D2&gt;0,IF(AND(D2&gt;=H2*(1-Q1),C2&gt;=G2*(1-Q1)),TRUE,FALSE),"Not checked")</f>
        <v>1</v>
      </c>
      <c r="X1" s="144" t="s">
        <v>9</v>
      </c>
    </row>
    <row r="2" spans="1:24">
      <c r="A2" s="173" t="s">
        <v>10</v>
      </c>
      <c r="B2" s="157" t="str">
        <f>IF(OR(ISBLANK(C2),C2=0, ISBLANK(D2),D2=0), "NOT CHECKED", IF(OR(AND(NOT(AND(ISBLANK(C2),C2=0)), C2&lt;G2), AND(NOT(AND(ISBLANK(D2),D2=0)), D2&lt;G2)), "FAIL", "PASS"))</f>
        <v>FAIL</v>
      </c>
      <c r="C2" s="118">
        <f>IF(R2,IF('9 points'!R3&gt;0,'9 points'!R3,0),IF('5_13 points'!V3&gt;0,'5_13 points'!V3,0))</f>
        <v>320</v>
      </c>
      <c r="D2" s="118">
        <f>IF(R2,IF('9 points'!S3&gt;0,'9 points'!S3,0),IF('5_13 points'!W3&gt;0,'5_13 points'!W3,0))</f>
        <v>320</v>
      </c>
      <c r="E2" s="118">
        <f>IF(R2,IF('9 points'!T3&gt;0,'9 points'!T3,0),IF('5_13 points'!X3&gt;0,'5_13 points'!X3,0))</f>
        <v>320</v>
      </c>
      <c r="F2" s="120">
        <f>(E2-C2)/2</f>
        <v>0</v>
      </c>
      <c r="G2" s="228">
        <v>321</v>
      </c>
      <c r="H2" s="224">
        <v>330</v>
      </c>
      <c r="I2" s="160"/>
      <c r="J2" s="161"/>
      <c r="K2" s="129" t="s">
        <v>93</v>
      </c>
      <c r="L2" s="184" t="s">
        <v>95</v>
      </c>
      <c r="M2" s="184"/>
      <c r="N2" s="184"/>
      <c r="O2" s="185" t="s">
        <v>11</v>
      </c>
      <c r="P2" s="185"/>
      <c r="Q2" s="152" t="s">
        <v>52</v>
      </c>
      <c r="R2" s="145" t="b">
        <f>OR(IF(Q2=X4,1,0),IF(Q2=X5,1,0),IF(Q2=X7,1,0),IF(Q2=X14,1,0),IF(Q2=X15,1,0),IF(Q2=X16,1,0),IF(Q2=X23,1,0),IF(Q2=X24,1,0),IF(Q2=X25,1,0))</f>
        <v>1</v>
      </c>
      <c r="X2" s="144" t="s">
        <v>13</v>
      </c>
    </row>
    <row r="3" spans="1:24">
      <c r="A3" s="174" t="str">
        <f>IF(R2,"Brightness uniformity @1/9","Brightness uniformity @1/10")</f>
        <v>Brightness uniformity @1/9</v>
      </c>
      <c r="B3" s="158" t="str">
        <f>IF(OR(ISBLANK(C3),C3=0, ISBLANK(D3),D3=0), "NOT CHECKED", IF(OR(AND(NOT(AND(ISBLANK(C3),C3=0)), C3&lt;G3), AND(NOT(AND(ISBLANK(D3),D3=0)), D3&lt;G3)), "FAIL", "PASS"))</f>
        <v>FAIL</v>
      </c>
      <c r="C3" s="153">
        <f>IF(R2,IF('9 points'!R4&gt;0,'9 points'!R4,0),IF('5_13 points'!V4&gt;0,'5_13 points'!V4,0))</f>
        <v>0.70019404915912031</v>
      </c>
      <c r="D3" s="153">
        <f>IF(R2,IF('9 points'!S4&gt;0,'9 points'!S4,0),IF('5_13 points'!W4&gt;0,'5_13 points'!W4,0))</f>
        <v>0.70019404915912031</v>
      </c>
      <c r="E3" s="153">
        <f>IF(R2,IF('9 points'!T4&gt;0,'9 points'!T4,0),IF('5_13 points'!X4&gt;0,'5_13 points'!X4,0))</f>
        <v>0.70019404915912031</v>
      </c>
      <c r="F3" s="121">
        <f>(E3-C3)/2</f>
        <v>0</v>
      </c>
      <c r="G3" s="229">
        <v>0.71</v>
      </c>
      <c r="H3" s="225">
        <v>0.75</v>
      </c>
      <c r="I3" s="162"/>
      <c r="J3" s="163"/>
      <c r="K3" s="151"/>
      <c r="L3" s="131"/>
      <c r="O3" s="185" t="s">
        <v>11</v>
      </c>
      <c r="P3" s="185"/>
      <c r="Q3" s="130" t="str">
        <f>IF(Q2=X8,X1,IF(Q2=X9,X2,IF(Q2=X10,X3,IF(Q2=X17,X11,IF(Q2=X18,X12,IF(Q2=X19,X13,IF(Q2=X26,X20,IF(Q2=X27,X21,IF(Q2=X28,X22,"")))))))))</f>
        <v/>
      </c>
      <c r="X3" s="144" t="s">
        <v>14</v>
      </c>
    </row>
    <row r="4" spans="1:24">
      <c r="A4" s="174" t="str">
        <f>IF(R2,"","Brightness uniformity @1/4")</f>
        <v/>
      </c>
      <c r="B4" s="158" t="str">
        <f>IF(A4="","",IFERROR(IF(K4,"PASS","FAIL"),K4))</f>
        <v/>
      </c>
      <c r="C4" s="153">
        <f>IF(R2,IF('9 points'!R5&gt;0,'9 points'!R5,0),IF('5_13 points'!V5&gt;0,'5_13 points'!V5,0))</f>
        <v>4433.8739657469378</v>
      </c>
      <c r="D4" s="153">
        <f>IF(R2,IF('9 points'!S5&gt;0,'9 points'!S5,0),IF('5_13 points'!W5&gt;0,'5_13 points'!W5,0))</f>
        <v>4433.8739657469378</v>
      </c>
      <c r="E4" s="153">
        <f>IF(R2,IF('9 points'!T5&gt;0,'9 points'!T5,0),IF('5_13 points'!X5&gt;0,'5_13 points'!X5,0))</f>
        <v>4433.8739657469378</v>
      </c>
      <c r="F4" s="121">
        <f>IFERROR((E4-C4)/2,"")</f>
        <v>0</v>
      </c>
      <c r="G4" s="229"/>
      <c r="H4" s="225"/>
      <c r="I4" s="162"/>
      <c r="J4" s="163"/>
      <c r="K4" s="151"/>
      <c r="L4" s="131"/>
      <c r="O4" s="185" t="s">
        <v>15</v>
      </c>
      <c r="P4" s="185"/>
      <c r="Q4" s="146">
        <f ca="1">IF('9 points'!AA24&lt;&gt;0,'9 points'!AA24,IF('5_13 points'!AF24&lt;&gt;0,'5_13 points'!AF24,""))</f>
        <v>123</v>
      </c>
      <c r="X4" s="144" t="s">
        <v>16</v>
      </c>
    </row>
    <row r="5" spans="1:24">
      <c r="A5" s="174" t="s">
        <v>91</v>
      </c>
      <c r="B5" s="158" t="str">
        <f>IF(OR(ISBLANK(C5),C5=0, ISBLANK(D5),D5=0), "NOT CHECKED", IF(OR(AND(NOT(AND(ISBLANK(C5),C5=0)), C5&lt;G5), AND(NOT(AND(ISBLANK(D5),D5=0)), D5&lt;(H5*(1-$Q$1)))), "FAIL", "PASS"))</f>
        <v>PASS</v>
      </c>
      <c r="C5" s="154">
        <f>IF(R2,IF('9 points'!R5&gt;0,'9 points'!R5,0),IF('5_13 points'!V6&gt;0,'5_13 points'!V6,0))</f>
        <v>4433.8739657469378</v>
      </c>
      <c r="D5" s="154">
        <f>IF(R2,IF('9 points'!S5&gt;0,'9 points'!S5,0),IF('5_13 points'!W6&gt;0,'5_13 points'!W6,0))</f>
        <v>4433.8739657469378</v>
      </c>
      <c r="E5" s="154">
        <f>IF(R2,IF('9 points'!T5&gt;0,'9 points'!T5,0),IF('5_13 points'!X6&gt;0,'5_13 points'!X6,0))</f>
        <v>4433.8739657469378</v>
      </c>
      <c r="F5" s="122">
        <f>(E5-C5)/2</f>
        <v>0</v>
      </c>
      <c r="G5" s="230">
        <v>3500</v>
      </c>
      <c r="H5" s="226">
        <v>4500</v>
      </c>
      <c r="I5" s="164"/>
      <c r="J5" s="165"/>
      <c r="K5" s="151"/>
      <c r="L5" s="131"/>
      <c r="Q5" s="147"/>
      <c r="X5" s="144" t="s">
        <v>18</v>
      </c>
    </row>
    <row r="6" spans="1:24" hidden="1">
      <c r="A6" s="174" t="s">
        <v>92</v>
      </c>
      <c r="B6" s="158" t="str">
        <f>IF(OR(ISBLANK(C6),C6=0, ISBLANK(D6),D6=0), "NOT CHECKED", IF(OR(AND(NOT(AND(ISBLANK(C6),C6=0)), C6&lt;G6), AND(NOT(AND(ISBLANK(D6),D6=0)), D6&lt;(H6*(1-$Q$1)))), "FAIL", "PASS"))</f>
        <v>FAIL</v>
      </c>
      <c r="C6" s="154">
        <f>IF(R2,IF('9 points'!R5&gt;0,'9 points'!R5,0),IF('5_13 points'!V6&gt;0,'5_13 points'!V6,0))</f>
        <v>4433.8739657469378</v>
      </c>
      <c r="D6" s="154">
        <f>IF(R2,IF('9 points'!S5&gt;0,'9 points'!S5,0),IF('5_13 points'!W6&gt;0,'5_13 points'!W6,0))</f>
        <v>4433.8739657469378</v>
      </c>
      <c r="E6" s="154">
        <f>IF(R2,IF('9 points'!T5&gt;0,'9 points'!T5,0),IF('5_13 points'!X6&gt;0,'5_13 points'!X6,0))</f>
        <v>4433.8739657469378</v>
      </c>
      <c r="F6" s="122">
        <f>(E6-C6)/2</f>
        <v>0</v>
      </c>
      <c r="G6" s="230">
        <v>3500</v>
      </c>
      <c r="H6" s="226">
        <v>5000</v>
      </c>
      <c r="I6" s="164"/>
      <c r="J6" s="165"/>
      <c r="K6" s="151"/>
      <c r="L6" s="131"/>
      <c r="Q6" s="147"/>
      <c r="X6" s="144" t="s">
        <v>20</v>
      </c>
    </row>
    <row r="7" spans="1:24">
      <c r="A7" s="174" t="s">
        <v>19</v>
      </c>
      <c r="B7" s="158" t="str">
        <f>IF(OR(ISBLANK(C7),C7=0, ISBLANK(D7),D7=0), "NOT CHECKED", IF(OR(AND(NOT(AND(ISBLANK(C7),C7=0)), C7&lt;G7), AND(NOT(AND(ISBLANK(D7),D7=0)), D7&lt;G7)), "FAIL", "PASS"))</f>
        <v>PASS</v>
      </c>
      <c r="C7" s="153">
        <f>IF(R2,IF('9 points'!R6&gt;0,'9 points'!R6,0),IF('5_13 points'!V7&gt;0,'5_13 points'!V7,0))</f>
        <v>0.71718504555450835</v>
      </c>
      <c r="D7" s="153">
        <f>IF(R2,IF('9 points'!S6&gt;0,'9 points'!S6,0),IF('5_13 points'!W7&gt;0,'5_13 points'!W7,0))</f>
        <v>0.71718504555450835</v>
      </c>
      <c r="E7" s="153">
        <f>IF(R2,IF('9 points'!T6&gt;0,'9 points'!T6,0),IF('5_13 points'!X7&gt;0,'5_13 points'!X7,0))</f>
        <v>0.71718504555450835</v>
      </c>
      <c r="F7" s="123">
        <f>(E7-C7)/2</f>
        <v>0</v>
      </c>
      <c r="G7" s="229">
        <v>0.7</v>
      </c>
      <c r="H7" s="225">
        <v>0.85</v>
      </c>
      <c r="I7" s="165"/>
      <c r="J7" s="165"/>
      <c r="K7" s="151"/>
      <c r="L7" s="131"/>
      <c r="Q7" s="147"/>
      <c r="X7" s="144" t="s">
        <v>22</v>
      </c>
    </row>
    <row r="8" spans="1:24">
      <c r="A8" s="175" t="s">
        <v>21</v>
      </c>
      <c r="B8" s="158" t="str">
        <f>IF(OR(ISBLANK(C8),C8=0, ISBLANK(D8),D8=0), "NOT CHECKED", IF(OR(AND(NOT(ISBLANK(C8)), C8&lt;G8), AND(NOT(ISBLANK(D8)), D8&lt;(H8*(1-$Q$1)))), "FAIL", "PASS"))</f>
        <v>NOT CHECKED</v>
      </c>
      <c r="C8" s="180" t="str">
        <f>IF(ISBLANK(Gamma!C6),"Not checked",IF(Gamma!AF24&gt;0,"Adjusted poor","Good"))</f>
        <v>Not checked</v>
      </c>
      <c r="D8" s="180"/>
      <c r="E8" s="180"/>
      <c r="F8" s="181"/>
      <c r="G8" s="165"/>
      <c r="H8" s="165"/>
      <c r="I8" s="165"/>
      <c r="J8" s="165"/>
      <c r="K8" s="151"/>
      <c r="L8" s="131"/>
      <c r="Q8" s="147"/>
      <c r="X8" s="144" t="s">
        <v>24</v>
      </c>
    </row>
    <row r="9" spans="1:24">
      <c r="A9" s="175" t="s">
        <v>23</v>
      </c>
      <c r="B9" s="158" t="str">
        <f>IF(OR(ISBLANK(C9),C9=0,ISBLANK(D9),D9=0,ISBLANK(E9),E9=0), "NOT CHECKED", IF(AND(C9&gt;=G9,E9&lt;=I9,AND(D9&gt;=G9,D9&lt;=I9),C9&lt;=I9,E9&gt;=G9), "PASS", "FAIL"))</f>
        <v>PASS</v>
      </c>
      <c r="C9" s="155">
        <f>IF(R2,IF('9 points'!R8&gt;0,'9 points'!R8,0),IF('5_13 points'!V9&gt;0,'5_13 points'!V9,0))</f>
        <v>10292</v>
      </c>
      <c r="D9" s="155">
        <f>IF(R2,IF('9 points'!S8&gt;0,'9 points'!S8,0),IF('5_13 points'!W9&gt;0,'5_13 points'!W9,0))</f>
        <v>10292</v>
      </c>
      <c r="E9" s="155">
        <f>IF(R2,IF('9 points'!T8&gt;0,'9 points'!T8,0),IF('5_13 points'!X9&gt;0,'5_13 points'!X9,0))</f>
        <v>10292</v>
      </c>
      <c r="F9" s="124">
        <f>(E9-C9)/2</f>
        <v>0</v>
      </c>
      <c r="G9" s="231">
        <f>H9-J9</f>
        <v>7892</v>
      </c>
      <c r="H9" s="227">
        <v>9892</v>
      </c>
      <c r="I9" s="227">
        <f>H9+J9</f>
        <v>11892</v>
      </c>
      <c r="J9" s="166">
        <v>2000</v>
      </c>
      <c r="K9" s="151"/>
      <c r="L9" s="131"/>
      <c r="Q9" s="147"/>
      <c r="X9" s="144" t="s">
        <v>26</v>
      </c>
    </row>
    <row r="10" spans="1:24">
      <c r="A10" s="175" t="s">
        <v>25</v>
      </c>
      <c r="B10" s="158" t="str">
        <f>IF(OR(ISBLANK(C10),C10=0, ISBLANK(D10),D10=0), "NOT CHECKED", IF(OR(AND(NOT(ISBLANK(C10)), C10&lt;G10), AND(NOT(ISBLANK(D10)), D10&lt;(H10*(1-$Q$1)))), "FAIL", "PASS"))</f>
        <v>NOT CHECKED</v>
      </c>
      <c r="C10" s="182" t="str">
        <f>IF(ISBLANK(Gamma!B6),"Not checked",IF(Gamma!AC24&gt;0,"Adjusted poor","Good"))</f>
        <v>Not checked</v>
      </c>
      <c r="D10" s="182"/>
      <c r="E10" s="182"/>
      <c r="F10" s="183"/>
      <c r="G10" s="167"/>
      <c r="H10" s="167"/>
      <c r="I10" s="167"/>
      <c r="J10" s="168"/>
      <c r="K10" s="151"/>
      <c r="Q10" s="147"/>
      <c r="X10" s="144" t="s">
        <v>28</v>
      </c>
    </row>
    <row r="11" spans="1:24">
      <c r="A11" s="174" t="s">
        <v>27</v>
      </c>
      <c r="B11" s="158" t="str">
        <f>IF(OR(ISBLANK(C11),C11=0,ISBLANK(D11),D11=0,ISBLANK(E11),E11=0), "NOT CHECKED", IF(AND(C11&gt;=G11,E11&lt;=I11,AND(D11&gt;=G11,D11&lt;=I11),C11&lt;=I11,E11&gt;=G11), "PASS", "FAIL"))</f>
        <v>PASS</v>
      </c>
      <c r="C11" s="156">
        <f>IF($R$2,IF('9 points'!R11&gt;0,'9 points'!R11,0),IF('5_13 points'!V12&gt;0,'5_13 points'!V12,0))</f>
        <v>0.63600000000000001</v>
      </c>
      <c r="D11" s="156">
        <f>IF($R$2,IF('9 points'!S11&gt;0,'9 points'!S11,0),IF('5_13 points'!W12&gt;0,'5_13 points'!W12,0))</f>
        <v>0.63600000000000001</v>
      </c>
      <c r="E11" s="156">
        <f>IF($R$2,IF('9 points'!T11&gt;0,'9 points'!T11,0),IF('5_13 points'!X12&gt;0,'5_13 points'!X12,0))</f>
        <v>0.63600000000000001</v>
      </c>
      <c r="F11" s="125">
        <f t="shared" ref="F11:F18" si="0">(E11-C11)/2</f>
        <v>0</v>
      </c>
      <c r="G11" s="169">
        <f t="shared" ref="G11:G18" si="1">H11-J11</f>
        <v>0.57000000000000006</v>
      </c>
      <c r="H11" s="170">
        <v>0.66</v>
      </c>
      <c r="I11" s="169">
        <f t="shared" ref="I11:I18" si="2">H11+J11</f>
        <v>0.75</v>
      </c>
      <c r="J11" s="171">
        <v>0.09</v>
      </c>
      <c r="K11" s="151"/>
      <c r="Q11" s="147"/>
      <c r="X11" s="144" t="s">
        <v>30</v>
      </c>
    </row>
    <row r="12" spans="1:24">
      <c r="A12" s="174" t="s">
        <v>29</v>
      </c>
      <c r="B12" s="158" t="str">
        <f t="shared" ref="B12:B18" si="3">IF(OR(ISBLANK(C12),C12=0,ISBLANK(D12),D12=0,ISBLANK(E12),E12=0), "NOT CHECKED", IF(AND(C12&gt;=G12,E12&lt;=I12,AND(D12&gt;=G12,D12&lt;=I12),C12&lt;=I12,E12&gt;=G12), "PASS", "FAIL"))</f>
        <v>PASS</v>
      </c>
      <c r="C12" s="156">
        <f>IF($R$2,IF('9 points'!R12&gt;0,'9 points'!R12,0),IF('5_13 points'!V13&gt;0,'5_13 points'!V13,0))</f>
        <v>0.32900000000000001</v>
      </c>
      <c r="D12" s="156">
        <f>IF($R$2,IF('9 points'!S12&gt;0,'9 points'!S12,0),IF('5_13 points'!W13&gt;0,'5_13 points'!W13,0))</f>
        <v>0.32900000000000001</v>
      </c>
      <c r="E12" s="156">
        <f>IF($R$2,IF('9 points'!T12&gt;0,'9 points'!T12,0),IF('5_13 points'!X13&gt;0,'5_13 points'!X13,0))</f>
        <v>0.32900000000000001</v>
      </c>
      <c r="F12" s="125">
        <f t="shared" si="0"/>
        <v>0</v>
      </c>
      <c r="G12" s="169">
        <f t="shared" si="1"/>
        <v>0.22</v>
      </c>
      <c r="H12" s="170">
        <v>0.31</v>
      </c>
      <c r="I12" s="169">
        <f t="shared" si="2"/>
        <v>0.4</v>
      </c>
      <c r="J12" s="171">
        <v>0.09</v>
      </c>
      <c r="K12" s="151"/>
      <c r="Q12" s="147"/>
      <c r="X12" s="144" t="s">
        <v>32</v>
      </c>
    </row>
    <row r="13" spans="1:24">
      <c r="A13" s="174" t="s">
        <v>31</v>
      </c>
      <c r="B13" s="158" t="str">
        <f t="shared" si="3"/>
        <v>PASS</v>
      </c>
      <c r="C13" s="156">
        <f>IF($R$2,IF('9 points'!R13&gt;0,'9 points'!R13,0),IF('5_13 points'!V14&gt;0,'5_13 points'!V14,0))</f>
        <v>0.311</v>
      </c>
      <c r="D13" s="156">
        <f>IF($R$2,IF('9 points'!S13&gt;0,'9 points'!S13,0),IF('5_13 points'!W14&gt;0,'5_13 points'!W14,0))</f>
        <v>0.311</v>
      </c>
      <c r="E13" s="156">
        <f>IF($R$2,IF('9 points'!T13&gt;0,'9 points'!T13,0),IF('5_13 points'!X14&gt;0,'5_13 points'!X14,0))</f>
        <v>0.311</v>
      </c>
      <c r="F13" s="125">
        <f t="shared" si="0"/>
        <v>0</v>
      </c>
      <c r="G13" s="169">
        <f t="shared" si="1"/>
        <v>0.19000000000000003</v>
      </c>
      <c r="H13" s="170">
        <v>0.28000000000000003</v>
      </c>
      <c r="I13" s="169">
        <f t="shared" si="2"/>
        <v>0.37</v>
      </c>
      <c r="J13" s="171">
        <v>0.09</v>
      </c>
      <c r="K13" s="151"/>
      <c r="Q13" s="147"/>
      <c r="X13" s="144" t="s">
        <v>34</v>
      </c>
    </row>
    <row r="14" spans="1:24">
      <c r="A14" s="174" t="s">
        <v>33</v>
      </c>
      <c r="B14" s="158" t="str">
        <f t="shared" si="3"/>
        <v>PASS</v>
      </c>
      <c r="C14" s="156">
        <f>IF($R$2,IF('9 points'!R14&gt;0,'9 points'!R14,0),IF('5_13 points'!V15&gt;0,'5_13 points'!V15,0))</f>
        <v>0.61499999999999999</v>
      </c>
      <c r="D14" s="156">
        <f>IF($R$2,IF('9 points'!S14&gt;0,'9 points'!S14,0),IF('5_13 points'!W15&gt;0,'5_13 points'!W15,0))</f>
        <v>0.61499999999999999</v>
      </c>
      <c r="E14" s="156">
        <f>IF($R$2,IF('9 points'!T14&gt;0,'9 points'!T14,0),IF('5_13 points'!X15&gt;0,'5_13 points'!X15,0))</f>
        <v>0.61499999999999999</v>
      </c>
      <c r="F14" s="125">
        <f t="shared" si="0"/>
        <v>0</v>
      </c>
      <c r="G14" s="169">
        <f t="shared" si="1"/>
        <v>0.57000000000000006</v>
      </c>
      <c r="H14" s="170">
        <v>0.66</v>
      </c>
      <c r="I14" s="169">
        <f t="shared" si="2"/>
        <v>0.75</v>
      </c>
      <c r="J14" s="171">
        <v>0.09</v>
      </c>
      <c r="K14" s="151"/>
      <c r="Q14" s="147"/>
      <c r="X14" s="144" t="s">
        <v>12</v>
      </c>
    </row>
    <row r="15" spans="1:24">
      <c r="A15" s="174" t="s">
        <v>35</v>
      </c>
      <c r="B15" s="158" t="str">
        <f t="shared" si="3"/>
        <v>PASS</v>
      </c>
      <c r="C15" s="156">
        <f>IF($R$2,IF('9 points'!R15&gt;0,'9 points'!R15,0),IF('5_13 points'!V16&gt;0,'5_13 points'!V16,0))</f>
        <v>0.156</v>
      </c>
      <c r="D15" s="156">
        <f>IF($R$2,IF('9 points'!S15&gt;0,'9 points'!S15,0),IF('5_13 points'!W16&gt;0,'5_13 points'!W16,0))</f>
        <v>0.156</v>
      </c>
      <c r="E15" s="156">
        <f>IF($R$2,IF('9 points'!T15&gt;0,'9 points'!T15,0),IF('5_13 points'!X16&gt;0,'5_13 points'!X16,0))</f>
        <v>0.156</v>
      </c>
      <c r="F15" s="125">
        <f t="shared" si="0"/>
        <v>0</v>
      </c>
      <c r="G15" s="169">
        <f t="shared" si="1"/>
        <v>6.5000000000000002E-2</v>
      </c>
      <c r="H15" s="170">
        <v>0.155</v>
      </c>
      <c r="I15" s="169">
        <f t="shared" si="2"/>
        <v>0.245</v>
      </c>
      <c r="J15" s="171">
        <v>0.09</v>
      </c>
      <c r="K15" s="151"/>
      <c r="Q15" s="147"/>
      <c r="S15" s="148"/>
      <c r="X15" s="144" t="s">
        <v>37</v>
      </c>
    </row>
    <row r="16" spans="1:24">
      <c r="A16" s="174" t="s">
        <v>36</v>
      </c>
      <c r="B16" s="158" t="str">
        <f t="shared" si="3"/>
        <v>PASS</v>
      </c>
      <c r="C16" s="156">
        <f>IF($R$2,IF('9 points'!R16&gt;0,'9 points'!R16,0),IF('5_13 points'!V17&gt;0,'5_13 points'!V17,0))</f>
        <v>4.9000000000000002E-2</v>
      </c>
      <c r="D16" s="156">
        <f>IF($R$2,IF('9 points'!S16&gt;0,'9 points'!S16,0),IF('5_13 points'!W17&gt;0,'5_13 points'!W17,0))</f>
        <v>4.9000000000000002E-2</v>
      </c>
      <c r="E16" s="156">
        <f>IF($R$2,IF('9 points'!T16&gt;0,'9 points'!T16,0),IF('5_13 points'!X17&gt;0,'5_13 points'!X17,0))</f>
        <v>4.9000000000000002E-2</v>
      </c>
      <c r="F16" s="125">
        <f t="shared" si="0"/>
        <v>0</v>
      </c>
      <c r="G16" s="169">
        <f t="shared" si="1"/>
        <v>-3.4999999999999996E-2</v>
      </c>
      <c r="H16" s="170">
        <v>5.5E-2</v>
      </c>
      <c r="I16" s="169">
        <f t="shared" si="2"/>
        <v>0.14499999999999999</v>
      </c>
      <c r="J16" s="171">
        <v>0.09</v>
      </c>
      <c r="K16" s="151"/>
      <c r="L16" s="131"/>
      <c r="Q16" s="147"/>
      <c r="X16" s="144" t="s">
        <v>39</v>
      </c>
    </row>
    <row r="17" spans="1:24">
      <c r="A17" s="174" t="s">
        <v>38</v>
      </c>
      <c r="B17" s="158" t="str">
        <f t="shared" si="3"/>
        <v>PASS</v>
      </c>
      <c r="C17" s="156">
        <f>IF(R2,IF('9 points'!R9&gt;0,'9 points'!R9,0),IF('5_13 points'!V10&gt;0,'5_13 points'!V10,0))</f>
        <v>0.28199999999999997</v>
      </c>
      <c r="D17" s="156">
        <f>IF(R2,IF('9 points'!S9&gt;0,'9 points'!S9,0),IF('5_13 points'!W10&gt;0,'5_13 points'!W10,0))</f>
        <v>0.28199999999999997</v>
      </c>
      <c r="E17" s="156">
        <f>IF(R2,IF('9 points'!T9&gt;0,'9 points'!T9,0),IF('5_13 points'!X10&gt;0,'5_13 points'!X10,0))</f>
        <v>0.28199999999999997</v>
      </c>
      <c r="F17" s="125">
        <f t="shared" si="0"/>
        <v>0</v>
      </c>
      <c r="G17" s="169">
        <f t="shared" si="1"/>
        <v>0.19000000000000003</v>
      </c>
      <c r="H17" s="170">
        <v>0.28000000000000003</v>
      </c>
      <c r="I17" s="169">
        <f t="shared" si="2"/>
        <v>0.37</v>
      </c>
      <c r="J17" s="171">
        <v>0.09</v>
      </c>
      <c r="K17" s="151"/>
      <c r="L17" s="131"/>
      <c r="Q17" s="147"/>
      <c r="X17" s="144" t="s">
        <v>41</v>
      </c>
    </row>
    <row r="18" spans="1:24">
      <c r="A18" s="176" t="s">
        <v>40</v>
      </c>
      <c r="B18" s="159" t="str">
        <f t="shared" si="3"/>
        <v>PASS</v>
      </c>
      <c r="C18" s="126">
        <f>IF(R2,IF('9 points'!R10&gt;0,'9 points'!R10,0),IF('5_13 points'!V11&gt;0,'5_13 points'!V11,0))</f>
        <v>0.29299999999999998</v>
      </c>
      <c r="D18" s="126">
        <f>IF(R2,IF('9 points'!S10&gt;0,'9 points'!S10,0),IF('5_13 points'!W11&gt;0,'5_13 points'!W11,0))</f>
        <v>0.29299999999999998</v>
      </c>
      <c r="E18" s="126">
        <f>IF(R2,IF('9 points'!T10&gt;0,'9 points'!T10,0),IF('5_13 points'!X11&gt;0,'5_13 points'!X11,0))</f>
        <v>0.29299999999999998</v>
      </c>
      <c r="F18" s="127">
        <f t="shared" si="0"/>
        <v>0</v>
      </c>
      <c r="G18" s="169">
        <f t="shared" si="1"/>
        <v>0.19999999999999998</v>
      </c>
      <c r="H18" s="170">
        <v>0.28999999999999998</v>
      </c>
      <c r="I18" s="169">
        <f t="shared" si="2"/>
        <v>0.38</v>
      </c>
      <c r="J18" s="171">
        <v>0.09</v>
      </c>
      <c r="K18" s="151"/>
      <c r="Q18" s="147"/>
      <c r="X18" s="144" t="s">
        <v>42</v>
      </c>
    </row>
    <row r="19" spans="1:24">
      <c r="H19" s="128"/>
      <c r="Q19" s="147"/>
      <c r="X19" s="144" t="s">
        <v>46</v>
      </c>
    </row>
    <row r="20" spans="1:24">
      <c r="M20" s="178" t="s">
        <v>43</v>
      </c>
      <c r="N20" s="179"/>
      <c r="O20" s="178" t="s">
        <v>44</v>
      </c>
      <c r="P20" s="179"/>
      <c r="Q20" s="178" t="str">
        <f>H1</f>
        <v>IIS</v>
      </c>
      <c r="R20" s="179"/>
      <c r="S20" s="178" t="s">
        <v>45</v>
      </c>
      <c r="T20" s="179"/>
      <c r="U20" s="178"/>
      <c r="V20" s="179"/>
      <c r="X20" s="144" t="s">
        <v>49</v>
      </c>
    </row>
    <row r="21" spans="1:24">
      <c r="M21" s="132" t="s">
        <v>47</v>
      </c>
      <c r="N21" s="133" t="s">
        <v>48</v>
      </c>
      <c r="O21" s="132" t="s">
        <v>47</v>
      </c>
      <c r="P21" s="133" t="s">
        <v>48</v>
      </c>
      <c r="Q21" s="132" t="s">
        <v>47</v>
      </c>
      <c r="R21" s="133" t="s">
        <v>48</v>
      </c>
      <c r="S21" s="132" t="s">
        <v>47</v>
      </c>
      <c r="T21" s="133" t="s">
        <v>48</v>
      </c>
      <c r="U21" s="132" t="s">
        <v>47</v>
      </c>
      <c r="V21" s="133" t="s">
        <v>48</v>
      </c>
      <c r="X21" s="144" t="s">
        <v>50</v>
      </c>
    </row>
    <row r="22" spans="1:24">
      <c r="K22" s="131"/>
      <c r="M22" s="134">
        <f>IF(K23,0.674,0)</f>
        <v>0.67400000000000004</v>
      </c>
      <c r="N22" s="135">
        <f>IF(K23,0.326,0)</f>
        <v>0.32600000000000001</v>
      </c>
      <c r="O22" s="134">
        <f>IF(K25,0.64,0)</f>
        <v>0</v>
      </c>
      <c r="P22" s="135">
        <f>IF(K25,0.33,0)</f>
        <v>0</v>
      </c>
      <c r="Q22" s="134">
        <f>IF(K27,H11,0)</f>
        <v>0.66</v>
      </c>
      <c r="R22" s="135">
        <f>IF(K27,H12,0)</f>
        <v>0.31</v>
      </c>
      <c r="S22" s="134">
        <f>IF(K29,D11,0)</f>
        <v>0.63600000000000001</v>
      </c>
      <c r="T22" s="135">
        <f>IF(K29,D12,0)</f>
        <v>0.32900000000000001</v>
      </c>
      <c r="U22" s="134"/>
      <c r="V22" s="135"/>
      <c r="X22" s="144" t="s">
        <v>51</v>
      </c>
    </row>
    <row r="23" spans="1:24">
      <c r="K23" s="131" t="b">
        <v>1</v>
      </c>
      <c r="M23" s="134">
        <f>IF(K23,0.218,0)</f>
        <v>0.218</v>
      </c>
      <c r="N23" s="135">
        <f>IF(K23,0.712,0)</f>
        <v>0.71199999999999997</v>
      </c>
      <c r="O23" s="134">
        <f>IF(K25,0.3,0)</f>
        <v>0</v>
      </c>
      <c r="P23" s="135">
        <f>IF(K25,0.6,0)</f>
        <v>0</v>
      </c>
      <c r="Q23" s="134">
        <f>IF(K27,H13,0)</f>
        <v>0.28000000000000003</v>
      </c>
      <c r="R23" s="135">
        <f>IF(K27,H14,0)</f>
        <v>0.66</v>
      </c>
      <c r="S23" s="134">
        <f>IF(K29,D13,0)</f>
        <v>0.311</v>
      </c>
      <c r="T23" s="135">
        <f>IF(K29,D14,0)</f>
        <v>0.61499999999999999</v>
      </c>
      <c r="U23" s="134"/>
      <c r="V23" s="135"/>
      <c r="X23" s="144" t="s">
        <v>52</v>
      </c>
    </row>
    <row r="24" spans="1:24">
      <c r="K24" s="131"/>
      <c r="M24" s="134">
        <f>IF(K23,0.14,0)</f>
        <v>0.14000000000000001</v>
      </c>
      <c r="N24" s="135">
        <f>IF(K23,0.08,0)</f>
        <v>0.08</v>
      </c>
      <c r="O24" s="134">
        <f>IF(K25,0.15,0)</f>
        <v>0</v>
      </c>
      <c r="P24" s="135">
        <f>IF(K25,0.06,0)</f>
        <v>0</v>
      </c>
      <c r="Q24" s="134">
        <f>IF(K27,H15,0)</f>
        <v>0.155</v>
      </c>
      <c r="R24" s="135">
        <f>IF(K27,H16,0)</f>
        <v>5.5E-2</v>
      </c>
      <c r="S24" s="134">
        <f>IF(K29,D15,0)</f>
        <v>0.156</v>
      </c>
      <c r="T24" s="135">
        <f>IF(K29,D16,0)</f>
        <v>4.9000000000000002E-2</v>
      </c>
      <c r="U24" s="134"/>
      <c r="V24" s="135"/>
      <c r="X24" s="144" t="s">
        <v>53</v>
      </c>
    </row>
    <row r="25" spans="1:24">
      <c r="K25" s="131" t="b">
        <v>0</v>
      </c>
      <c r="M25" s="136">
        <f>IF(K23,0.674,0)</f>
        <v>0.67400000000000004</v>
      </c>
      <c r="N25" s="137">
        <f>IF(K23,0.326,0)</f>
        <v>0.32600000000000001</v>
      </c>
      <c r="O25" s="136">
        <f>IF(K25,0.64,0)</f>
        <v>0</v>
      </c>
      <c r="P25" s="137">
        <f>IF(K25,0.33,0)</f>
        <v>0</v>
      </c>
      <c r="Q25" s="136">
        <f>IF(K27,Q22,0)</f>
        <v>0.66</v>
      </c>
      <c r="R25" s="137">
        <f>IF(K27,R22,0)</f>
        <v>0.31</v>
      </c>
      <c r="S25" s="136">
        <f>IF(K29,S22,0)</f>
        <v>0.63600000000000001</v>
      </c>
      <c r="T25" s="137">
        <f>IF(K29,T22,0)</f>
        <v>0.32900000000000001</v>
      </c>
      <c r="U25" s="136">
        <f>U22</f>
        <v>0</v>
      </c>
      <c r="V25" s="137">
        <f>V22</f>
        <v>0</v>
      </c>
      <c r="X25" s="144" t="s">
        <v>55</v>
      </c>
    </row>
    <row r="26" spans="1:24">
      <c r="K26" s="131"/>
      <c r="M26" s="138" t="s">
        <v>54</v>
      </c>
      <c r="N26" s="139">
        <f>(0.5*ABS(M22*N23-M23*N22+M23*N24-M24*N23+M24*N22-M22*N24))</f>
        <v>0.15914999999999999</v>
      </c>
      <c r="O26" s="140"/>
      <c r="P26" s="140"/>
      <c r="Q26" s="140" t="s">
        <v>44</v>
      </c>
      <c r="R26" s="139" t="e">
        <f>(0.5*ABS(Q22*R23-Q23*R22+Q23*R24-Q24*R23+Q24*R22-Q22*R24)/$N26)/$P27</f>
        <v>#DIV/0!</v>
      </c>
      <c r="S26" s="140" t="s">
        <v>44</v>
      </c>
      <c r="T26" s="139" t="e">
        <f>(0.5*ABS(S22*T23-S23*T22+S23*T24-S24*T23+S24*T22-S22*T24)/$N26)/$P27</f>
        <v>#DIV/0!</v>
      </c>
      <c r="U26" s="140" t="s">
        <v>44</v>
      </c>
      <c r="V26" s="149" t="e">
        <f>(0.5*ABS(U22*V23-U23*V22+U23*V24-U24*V23+U24*V22-U22*V24)/$N26)/$P27</f>
        <v>#DIV/0!</v>
      </c>
      <c r="X26" s="144" t="s">
        <v>58</v>
      </c>
    </row>
    <row r="27" spans="1:24">
      <c r="K27" s="131" t="b">
        <v>1</v>
      </c>
      <c r="M27" s="141" t="s">
        <v>56</v>
      </c>
      <c r="N27" s="142">
        <f>(0.5*ABS(M22*N23-M23*N22+M23*N24-M24*N23+M24*N22-M22*N24)/$N26)</f>
        <v>1</v>
      </c>
      <c r="O27" s="143"/>
      <c r="P27" s="142">
        <f>(0.5*ABS(O22*P23-O23*P22+O23*P24-O24*P23+O24*P22-O22*P24)/$N26)</f>
        <v>0</v>
      </c>
      <c r="Q27" s="143" t="s">
        <v>57</v>
      </c>
      <c r="R27" s="142">
        <f>(0.5*ABS(Q22*R23-Q23*R22+Q23*R24-Q24*R23+Q24*R22-Q22*R24)/$N26)</f>
        <v>0.85972353125981804</v>
      </c>
      <c r="S27" s="143" t="s">
        <v>57</v>
      </c>
      <c r="T27" s="142">
        <f>(0.5*ABS(S22*T23-S23*T22+S23*T24-S24*T23+S24*T22-S22*T24)/$N26)</f>
        <v>0.71718504555450846</v>
      </c>
      <c r="U27" s="143" t="s">
        <v>57</v>
      </c>
      <c r="V27" s="150">
        <f>(0.5*ABS(U22*V23-U23*V22+U23*V24-U24*V23+U24*V22-U22*V24)/$N26)</f>
        <v>0</v>
      </c>
      <c r="X27" s="144" t="s">
        <v>59</v>
      </c>
    </row>
    <row r="28" spans="1:24">
      <c r="K28" s="131"/>
      <c r="X28" s="144"/>
    </row>
    <row r="29" spans="1:24">
      <c r="K29" s="131" t="b">
        <v>1</v>
      </c>
    </row>
    <row r="30" spans="1:24">
      <c r="K30" s="131"/>
    </row>
  </sheetData>
  <sheetProtection selectLockedCells="1"/>
  <mergeCells count="13">
    <mergeCell ref="L1:N1"/>
    <mergeCell ref="O1:P1"/>
    <mergeCell ref="O2:P2"/>
    <mergeCell ref="O3:P3"/>
    <mergeCell ref="O4:P4"/>
    <mergeCell ref="L2:N2"/>
    <mergeCell ref="S20:T20"/>
    <mergeCell ref="U20:V20"/>
    <mergeCell ref="C8:F8"/>
    <mergeCell ref="C10:F10"/>
    <mergeCell ref="M20:N20"/>
    <mergeCell ref="O20:P20"/>
    <mergeCell ref="Q20:R20"/>
  </mergeCells>
  <conditionalFormatting sqref="A1">
    <cfRule type="containsText" dxfId="88" priority="21" stopIfTrue="1" operator="containsText" text="FAIL">
      <formula>NOT(ISERROR(SEARCH("FAIL",A1)))</formula>
    </cfRule>
    <cfRule type="containsText" dxfId="87" priority="22" stopIfTrue="1" operator="containsText" text="PASS">
      <formula>NOT(ISERROR(SEARCH("PASS",A1)))</formula>
    </cfRule>
  </conditionalFormatting>
  <conditionalFormatting sqref="B1:B1048576">
    <cfRule type="cellIs" dxfId="86" priority="9" operator="equal">
      <formula>"Not checked"</formula>
    </cfRule>
  </conditionalFormatting>
  <conditionalFormatting sqref="B2:B18">
    <cfRule type="cellIs" dxfId="85" priority="7" operator="equal">
      <formula>"PASS"</formula>
    </cfRule>
    <cfRule type="cellIs" dxfId="84" priority="8" operator="equal">
      <formula>"FAIL"</formula>
    </cfRule>
  </conditionalFormatting>
  <conditionalFormatting sqref="B9">
    <cfRule type="cellIs" dxfId="83" priority="5" operator="equal">
      <formula>"NOT GOOD"</formula>
    </cfRule>
    <cfRule type="cellIs" dxfId="82" priority="6" operator="equal">
      <formula>"GOOD"</formula>
    </cfRule>
  </conditionalFormatting>
  <conditionalFormatting sqref="C4:F4 I4:J4">
    <cfRule type="expression" dxfId="81" priority="13">
      <formula>$R$2</formula>
    </cfRule>
  </conditionalFormatting>
  <conditionalFormatting sqref="G4:H4">
    <cfRule type="expression" dxfId="4" priority="4">
      <formula>$S$3</formula>
    </cfRule>
  </conditionalFormatting>
  <conditionalFormatting sqref="G2:H3 G5:H6">
    <cfRule type="containsBlanks" dxfId="3" priority="3">
      <formula>LEN(TRIM(G2))=0</formula>
    </cfRule>
  </conditionalFormatting>
  <conditionalFormatting sqref="H7">
    <cfRule type="cellIs" dxfId="2" priority="2" stopIfTrue="1" operator="greaterThan">
      <formula>$R$29</formula>
    </cfRule>
  </conditionalFormatting>
  <conditionalFormatting sqref="G7:H7">
    <cfRule type="containsBlanks" dxfId="1" priority="1">
      <formula>LEN(TRIM(G7))=0</formula>
    </cfRule>
  </conditionalFormatting>
  <dataValidations disablePrompts="1" count="1">
    <dataValidation type="list" allowBlank="1" showInputMessage="1" showErrorMessage="1" sqref="Q2" xr:uid="{00000000-0002-0000-0000-000000000000}">
      <formula1>$X$1:$X$28</formula1>
    </dataValidation>
  </dataValidations>
  <pageMargins left="0.7" right="0.7" top="0.75" bottom="0.75" header="0.3" footer="0.3"/>
  <pageSetup paperSize="9" orientation="portrait" r:id="rId1"/>
  <ignoredErrors>
    <ignoredError sqref="B9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10</xdr:col>
                    <xdr:colOff>137160</xdr:colOff>
                    <xdr:row>21</xdr:row>
                    <xdr:rowOff>205740</xdr:rowOff>
                  </from>
                  <to>
                    <xdr:col>11</xdr:col>
                    <xdr:colOff>495300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Pict="0">
                <anchor moveWithCells="1">
                  <from>
                    <xdr:col>10</xdr:col>
                    <xdr:colOff>137160</xdr:colOff>
                    <xdr:row>23</xdr:row>
                    <xdr:rowOff>205740</xdr:rowOff>
                  </from>
                  <to>
                    <xdr:col>11</xdr:col>
                    <xdr:colOff>495300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Pict="0">
                <anchor moveWithCells="1">
                  <from>
                    <xdr:col>10</xdr:col>
                    <xdr:colOff>137160</xdr:colOff>
                    <xdr:row>25</xdr:row>
                    <xdr:rowOff>205740</xdr:rowOff>
                  </from>
                  <to>
                    <xdr:col>11</xdr:col>
                    <xdr:colOff>495300</xdr:colOff>
                    <xdr:row>27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Pict="0">
                <anchor moveWithCells="1">
                  <from>
                    <xdr:col>10</xdr:col>
                    <xdr:colOff>137160</xdr:colOff>
                    <xdr:row>27</xdr:row>
                    <xdr:rowOff>205740</xdr:rowOff>
                  </from>
                  <to>
                    <xdr:col>11</xdr:col>
                    <xdr:colOff>495300</xdr:colOff>
                    <xdr:row>29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2"/>
  <sheetViews>
    <sheetView topLeftCell="C7" workbookViewId="0">
      <selection activeCell="B13" sqref="B13"/>
    </sheetView>
  </sheetViews>
  <sheetFormatPr defaultColWidth="10.796875" defaultRowHeight="20.399999999999999"/>
  <cols>
    <col min="1" max="1" width="16" style="82" customWidth="1"/>
    <col min="2" max="10" width="15.796875" style="82" customWidth="1"/>
    <col min="11" max="11" width="15.796875" style="83" customWidth="1"/>
    <col min="12" max="18" width="15.796875" style="82" customWidth="1"/>
    <col min="19" max="16384" width="10.796875" style="82"/>
  </cols>
  <sheetData>
    <row r="1" spans="1:34">
      <c r="A1" s="84"/>
      <c r="B1" s="192" t="s">
        <v>60</v>
      </c>
      <c r="C1" s="192"/>
      <c r="D1" s="192" t="s">
        <v>61</v>
      </c>
      <c r="E1" s="192"/>
      <c r="F1" s="192" t="s">
        <v>62</v>
      </c>
      <c r="G1" s="192"/>
      <c r="H1" s="192" t="s">
        <v>63</v>
      </c>
      <c r="I1" s="193"/>
      <c r="J1" s="186" t="s">
        <v>64</v>
      </c>
      <c r="K1" s="187"/>
      <c r="L1" s="188"/>
      <c r="M1" s="186" t="s">
        <v>65</v>
      </c>
      <c r="N1" s="187"/>
      <c r="O1" s="188"/>
      <c r="P1" s="186" t="s">
        <v>66</v>
      </c>
      <c r="Q1" s="187"/>
      <c r="R1" s="188"/>
      <c r="S1" s="114">
        <v>9300</v>
      </c>
      <c r="T1" s="114">
        <v>6500</v>
      </c>
      <c r="U1" s="114">
        <v>11000</v>
      </c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</row>
    <row r="2" spans="1:34">
      <c r="A2" s="85" t="s">
        <v>67</v>
      </c>
      <c r="B2" s="86" t="s">
        <v>68</v>
      </c>
      <c r="C2" s="86" t="s">
        <v>10</v>
      </c>
      <c r="D2" s="86" t="s">
        <v>68</v>
      </c>
      <c r="E2" s="86" t="s">
        <v>10</v>
      </c>
      <c r="F2" s="86" t="s">
        <v>68</v>
      </c>
      <c r="G2" s="86" t="s">
        <v>10</v>
      </c>
      <c r="H2" s="86" t="s">
        <v>68</v>
      </c>
      <c r="I2" s="86" t="s">
        <v>10</v>
      </c>
      <c r="J2" s="100" t="s">
        <v>69</v>
      </c>
      <c r="K2" s="101" t="s">
        <v>70</v>
      </c>
      <c r="L2" s="102" t="s">
        <v>71</v>
      </c>
      <c r="M2" s="100" t="s">
        <v>69</v>
      </c>
      <c r="N2" s="101" t="s">
        <v>70</v>
      </c>
      <c r="O2" s="102" t="s">
        <v>71</v>
      </c>
      <c r="P2" s="100" t="s">
        <v>69</v>
      </c>
      <c r="Q2" s="101" t="s">
        <v>70</v>
      </c>
      <c r="R2" s="102" t="s">
        <v>71</v>
      </c>
      <c r="S2" s="114">
        <f>IF(ABS(B23-S1)&lt;500,B23,S1)</f>
        <v>9300</v>
      </c>
      <c r="T2" s="114">
        <f>IF(ABS(D23-T1)&lt;500,D23,T1)</f>
        <v>6500</v>
      </c>
      <c r="U2" s="114">
        <f>IF(ABS(F23-U1)&lt;1000,F23,U1)</f>
        <v>11000</v>
      </c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</row>
    <row r="3" spans="1:34" ht="19.95" customHeight="1">
      <c r="A3" s="87">
        <v>0</v>
      </c>
      <c r="B3" s="88"/>
      <c r="C3" s="89"/>
      <c r="D3" s="90"/>
      <c r="E3" s="91"/>
      <c r="F3" s="92"/>
      <c r="G3" s="93"/>
      <c r="H3" s="92"/>
      <c r="I3" s="103"/>
      <c r="J3" s="104">
        <f>$J$25*A3^$J$24</f>
        <v>0</v>
      </c>
      <c r="K3" s="105">
        <f>$K$25*A3^$K$24</f>
        <v>0</v>
      </c>
      <c r="L3" s="106">
        <f>$L$25*A3^$L$24</f>
        <v>0</v>
      </c>
      <c r="M3" s="104">
        <f>$M$25*A3^$M$24</f>
        <v>0</v>
      </c>
      <c r="N3" s="105">
        <f>$N$25*A3^$N$24</f>
        <v>0</v>
      </c>
      <c r="O3" s="106">
        <f>$O$25*A3^$O$24</f>
        <v>0</v>
      </c>
      <c r="P3" s="104">
        <f>$P$25*A3^$P$24</f>
        <v>0</v>
      </c>
      <c r="Q3" s="105">
        <f>$Q$25*A3^$Q$24</f>
        <v>0</v>
      </c>
      <c r="R3" s="106">
        <f>$R$25*A3^$R$24</f>
        <v>0</v>
      </c>
      <c r="S3" s="114">
        <f>S$2</f>
        <v>9300</v>
      </c>
      <c r="T3" s="114">
        <f t="shared" ref="T3:U18" si="0">T$2</f>
        <v>6500</v>
      </c>
      <c r="U3" s="114">
        <f t="shared" si="0"/>
        <v>11000</v>
      </c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</row>
    <row r="4" spans="1:34" ht="19.95" customHeight="1">
      <c r="A4" s="87">
        <f>A3+5</f>
        <v>5</v>
      </c>
      <c r="B4" s="88"/>
      <c r="C4" s="89"/>
      <c r="D4" s="90"/>
      <c r="E4" s="91"/>
      <c r="F4" s="92"/>
      <c r="G4" s="93"/>
      <c r="H4" s="92"/>
      <c r="I4" s="103"/>
      <c r="J4" s="104">
        <f t="shared" ref="J4:J23" si="1">$J$25*A4^$J$24</f>
        <v>0</v>
      </c>
      <c r="K4" s="105">
        <f t="shared" ref="K4:K23" si="2">$K$25*A4^$K$24</f>
        <v>0</v>
      </c>
      <c r="L4" s="106">
        <f t="shared" ref="L4:L23" si="3">$L$25*A4^$L$24</f>
        <v>0</v>
      </c>
      <c r="M4" s="104">
        <f t="shared" ref="M4:M23" si="4">$M$25*A4^$M$24</f>
        <v>0</v>
      </c>
      <c r="N4" s="105">
        <f t="shared" ref="N4:N23" si="5">$N$25*A4^$N$24</f>
        <v>0</v>
      </c>
      <c r="O4" s="106">
        <f t="shared" ref="O4:O23" si="6">$O$25*A4^$O$24</f>
        <v>0</v>
      </c>
      <c r="P4" s="104">
        <f t="shared" ref="P4:P23" si="7">$P$25*A4^$P$24</f>
        <v>0</v>
      </c>
      <c r="Q4" s="105">
        <f t="shared" ref="Q4:Q23" si="8">$Q$25*A4^$Q$24</f>
        <v>0</v>
      </c>
      <c r="R4" s="106">
        <f t="shared" ref="R4:R23" si="9">$R$25*A4^$R$24</f>
        <v>0</v>
      </c>
      <c r="S4" s="114">
        <f t="shared" ref="S4:U23" si="10">S$2</f>
        <v>9300</v>
      </c>
      <c r="T4" s="114">
        <f t="shared" si="0"/>
        <v>6500</v>
      </c>
      <c r="U4" s="114">
        <f t="shared" si="0"/>
        <v>11000</v>
      </c>
      <c r="V4" s="114">
        <v>2000</v>
      </c>
      <c r="W4" s="114">
        <f t="shared" ref="W4:W23" si="11">S4-V4</f>
        <v>7300</v>
      </c>
      <c r="X4" s="114">
        <f t="shared" ref="X4:X23" si="12">S4+V4</f>
        <v>11300</v>
      </c>
      <c r="Y4" s="114">
        <f t="shared" ref="Y4:Y23" si="13">T4-V4*1.5</f>
        <v>3500</v>
      </c>
      <c r="Z4" s="114">
        <f t="shared" ref="Z4:Z23" si="14">T4+V4*1.5</f>
        <v>9500</v>
      </c>
      <c r="AA4" s="114">
        <f t="shared" ref="AA4:AA23" si="15">U4-V4*2</f>
        <v>7000</v>
      </c>
      <c r="AB4" s="114">
        <f t="shared" ref="AB4:AB23" si="16">U4+V4*2</f>
        <v>15000</v>
      </c>
      <c r="AC4" s="114">
        <f>IF(B4&gt;X4,1,IF(B4&lt;W4,1,0))</f>
        <v>1</v>
      </c>
      <c r="AD4" s="114">
        <f>IF(D4&gt;Z4,1,IF(D4&lt;Y4,1,0))</f>
        <v>1</v>
      </c>
      <c r="AE4" s="114">
        <f>IF(G4&gt;AB4,1,IF(G4&lt;AA4,1,0))</f>
        <v>1</v>
      </c>
      <c r="AF4" s="114">
        <f>IF(C4&gt;L4,1,IF(C4&lt;J4,1,0))</f>
        <v>0</v>
      </c>
      <c r="AG4" s="114">
        <f>IF(E4&gt;O4,1,IF(E4&lt;M4,1,0))</f>
        <v>0</v>
      </c>
      <c r="AH4" s="114">
        <f>IF(G4&gt;R4,1,IF(G4&lt;P4,1,0))</f>
        <v>0</v>
      </c>
    </row>
    <row r="5" spans="1:34" ht="19.95" customHeight="1">
      <c r="A5" s="87">
        <f t="shared" ref="A5:A23" si="17">A4+5</f>
        <v>10</v>
      </c>
      <c r="B5" s="88"/>
      <c r="C5" s="89"/>
      <c r="D5" s="90"/>
      <c r="E5" s="91"/>
      <c r="F5" s="92"/>
      <c r="G5" s="93"/>
      <c r="H5" s="92"/>
      <c r="I5" s="103"/>
      <c r="J5" s="104">
        <f t="shared" si="1"/>
        <v>0</v>
      </c>
      <c r="K5" s="105">
        <f t="shared" si="2"/>
        <v>0</v>
      </c>
      <c r="L5" s="106">
        <f t="shared" si="3"/>
        <v>0</v>
      </c>
      <c r="M5" s="104">
        <f t="shared" si="4"/>
        <v>0</v>
      </c>
      <c r="N5" s="105">
        <f t="shared" si="5"/>
        <v>0</v>
      </c>
      <c r="O5" s="106">
        <f t="shared" si="6"/>
        <v>0</v>
      </c>
      <c r="P5" s="104">
        <f t="shared" si="7"/>
        <v>0</v>
      </c>
      <c r="Q5" s="105">
        <f t="shared" si="8"/>
        <v>0</v>
      </c>
      <c r="R5" s="106">
        <f t="shared" si="9"/>
        <v>0</v>
      </c>
      <c r="S5" s="114">
        <f t="shared" si="10"/>
        <v>9300</v>
      </c>
      <c r="T5" s="114">
        <f t="shared" si="0"/>
        <v>6500</v>
      </c>
      <c r="U5" s="114">
        <f t="shared" si="0"/>
        <v>11000</v>
      </c>
      <c r="V5" s="114">
        <v>1000</v>
      </c>
      <c r="W5" s="114">
        <f t="shared" si="11"/>
        <v>8300</v>
      </c>
      <c r="X5" s="114">
        <f t="shared" si="12"/>
        <v>10300</v>
      </c>
      <c r="Y5" s="114">
        <f t="shared" si="13"/>
        <v>5000</v>
      </c>
      <c r="Z5" s="114">
        <f t="shared" si="14"/>
        <v>8000</v>
      </c>
      <c r="AA5" s="114">
        <f t="shared" si="15"/>
        <v>9000</v>
      </c>
      <c r="AB5" s="114">
        <f t="shared" si="16"/>
        <v>13000</v>
      </c>
      <c r="AC5" s="114">
        <f t="shared" ref="AC5:AC23" si="18">IF(B5&gt;X5,1,IF(B5&lt;W5,1,0))</f>
        <v>1</v>
      </c>
      <c r="AD5" s="114">
        <f t="shared" ref="AD5:AD23" si="19">IF(D5&gt;Z5,1,IF(D5&lt;Y5,1,0))</f>
        <v>1</v>
      </c>
      <c r="AE5" s="114">
        <f t="shared" ref="AE5:AE23" si="20">IF(G5&gt;AB5,1,IF(G5&lt;AA5,1,0))</f>
        <v>1</v>
      </c>
      <c r="AF5" s="114">
        <f t="shared" ref="AF5:AF23" si="21">IF(C5&gt;L5,1,IF(C5&lt;J5,1,0))</f>
        <v>0</v>
      </c>
      <c r="AG5" s="114">
        <f t="shared" ref="AG5:AG23" si="22">IF(E5&gt;O5,1,IF(E5&lt;M5,1,0))</f>
        <v>0</v>
      </c>
      <c r="AH5" s="114">
        <f t="shared" ref="AH5:AH23" si="23">IF(G5&gt;R5,1,IF(G5&lt;P5,1,0))</f>
        <v>0</v>
      </c>
    </row>
    <row r="6" spans="1:34" ht="19.95" customHeight="1">
      <c r="A6" s="87">
        <f t="shared" si="17"/>
        <v>15</v>
      </c>
      <c r="B6" s="88"/>
      <c r="C6" s="89"/>
      <c r="D6" s="90"/>
      <c r="E6" s="91"/>
      <c r="F6" s="92"/>
      <c r="G6" s="93"/>
      <c r="H6" s="92"/>
      <c r="I6" s="103"/>
      <c r="J6" s="104">
        <f t="shared" si="1"/>
        <v>0</v>
      </c>
      <c r="K6" s="105">
        <f t="shared" si="2"/>
        <v>0</v>
      </c>
      <c r="L6" s="106">
        <f t="shared" si="3"/>
        <v>0</v>
      </c>
      <c r="M6" s="104">
        <f t="shared" si="4"/>
        <v>0</v>
      </c>
      <c r="N6" s="105">
        <f t="shared" si="5"/>
        <v>0</v>
      </c>
      <c r="O6" s="106">
        <f t="shared" si="6"/>
        <v>0</v>
      </c>
      <c r="P6" s="104">
        <f t="shared" si="7"/>
        <v>0</v>
      </c>
      <c r="Q6" s="105">
        <f t="shared" si="8"/>
        <v>0</v>
      </c>
      <c r="R6" s="106">
        <f t="shared" si="9"/>
        <v>0</v>
      </c>
      <c r="S6" s="114">
        <f t="shared" si="10"/>
        <v>9300</v>
      </c>
      <c r="T6" s="114">
        <f t="shared" si="0"/>
        <v>6500</v>
      </c>
      <c r="U6" s="114">
        <f t="shared" si="0"/>
        <v>11000</v>
      </c>
      <c r="V6" s="114">
        <v>500</v>
      </c>
      <c r="W6" s="114">
        <f t="shared" si="11"/>
        <v>8800</v>
      </c>
      <c r="X6" s="114">
        <f t="shared" si="12"/>
        <v>9800</v>
      </c>
      <c r="Y6" s="114">
        <f t="shared" si="13"/>
        <v>5750</v>
      </c>
      <c r="Z6" s="114">
        <f t="shared" si="14"/>
        <v>7250</v>
      </c>
      <c r="AA6" s="114">
        <f t="shared" si="15"/>
        <v>10000</v>
      </c>
      <c r="AB6" s="114">
        <f t="shared" si="16"/>
        <v>12000</v>
      </c>
      <c r="AC6" s="114">
        <f t="shared" si="18"/>
        <v>1</v>
      </c>
      <c r="AD6" s="114">
        <f t="shared" si="19"/>
        <v>1</v>
      </c>
      <c r="AE6" s="114">
        <f t="shared" si="20"/>
        <v>1</v>
      </c>
      <c r="AF6" s="114">
        <f t="shared" si="21"/>
        <v>0</v>
      </c>
      <c r="AG6" s="114">
        <f t="shared" si="22"/>
        <v>0</v>
      </c>
      <c r="AH6" s="114">
        <f t="shared" si="23"/>
        <v>0</v>
      </c>
    </row>
    <row r="7" spans="1:34" ht="19.95" customHeight="1">
      <c r="A7" s="87">
        <f t="shared" si="17"/>
        <v>20</v>
      </c>
      <c r="B7" s="88"/>
      <c r="C7" s="89"/>
      <c r="D7" s="90"/>
      <c r="E7" s="91"/>
      <c r="F7" s="92"/>
      <c r="G7" s="93"/>
      <c r="H7" s="92"/>
      <c r="I7" s="103"/>
      <c r="J7" s="104">
        <f t="shared" si="1"/>
        <v>0</v>
      </c>
      <c r="K7" s="105">
        <f t="shared" si="2"/>
        <v>0</v>
      </c>
      <c r="L7" s="106">
        <f t="shared" si="3"/>
        <v>0</v>
      </c>
      <c r="M7" s="104">
        <f t="shared" si="4"/>
        <v>0</v>
      </c>
      <c r="N7" s="105">
        <f t="shared" si="5"/>
        <v>0</v>
      </c>
      <c r="O7" s="106">
        <f t="shared" si="6"/>
        <v>0</v>
      </c>
      <c r="P7" s="104">
        <f t="shared" si="7"/>
        <v>0</v>
      </c>
      <c r="Q7" s="105">
        <f t="shared" si="8"/>
        <v>0</v>
      </c>
      <c r="R7" s="106">
        <f t="shared" si="9"/>
        <v>0</v>
      </c>
      <c r="S7" s="114">
        <f t="shared" si="10"/>
        <v>9300</v>
      </c>
      <c r="T7" s="114">
        <f t="shared" si="0"/>
        <v>6500</v>
      </c>
      <c r="U7" s="114">
        <f t="shared" si="0"/>
        <v>11000</v>
      </c>
      <c r="V7" s="114">
        <v>100</v>
      </c>
      <c r="W7" s="114">
        <f t="shared" si="11"/>
        <v>9200</v>
      </c>
      <c r="X7" s="114">
        <f t="shared" si="12"/>
        <v>9400</v>
      </c>
      <c r="Y7" s="114">
        <f t="shared" si="13"/>
        <v>6350</v>
      </c>
      <c r="Z7" s="114">
        <f t="shared" si="14"/>
        <v>6650</v>
      </c>
      <c r="AA7" s="114">
        <f t="shared" si="15"/>
        <v>10800</v>
      </c>
      <c r="AB7" s="114">
        <f t="shared" si="16"/>
        <v>11200</v>
      </c>
      <c r="AC7" s="114">
        <f t="shared" si="18"/>
        <v>1</v>
      </c>
      <c r="AD7" s="114">
        <f t="shared" si="19"/>
        <v>1</v>
      </c>
      <c r="AE7" s="114">
        <f t="shared" si="20"/>
        <v>1</v>
      </c>
      <c r="AF7" s="114">
        <f t="shared" si="21"/>
        <v>0</v>
      </c>
      <c r="AG7" s="114">
        <f t="shared" si="22"/>
        <v>0</v>
      </c>
      <c r="AH7" s="114">
        <f t="shared" si="23"/>
        <v>0</v>
      </c>
    </row>
    <row r="8" spans="1:34" ht="21" customHeight="1">
      <c r="A8" s="87">
        <f t="shared" si="17"/>
        <v>25</v>
      </c>
      <c r="B8" s="88"/>
      <c r="C8" s="89"/>
      <c r="D8" s="90"/>
      <c r="E8" s="91"/>
      <c r="F8" s="92"/>
      <c r="G8" s="93"/>
      <c r="H8" s="92"/>
      <c r="I8" s="103"/>
      <c r="J8" s="104">
        <f t="shared" si="1"/>
        <v>0</v>
      </c>
      <c r="K8" s="105">
        <f t="shared" si="2"/>
        <v>0</v>
      </c>
      <c r="L8" s="106">
        <f t="shared" si="3"/>
        <v>0</v>
      </c>
      <c r="M8" s="104">
        <f t="shared" si="4"/>
        <v>0</v>
      </c>
      <c r="N8" s="105">
        <f t="shared" si="5"/>
        <v>0</v>
      </c>
      <c r="O8" s="106">
        <f t="shared" si="6"/>
        <v>0</v>
      </c>
      <c r="P8" s="104">
        <f t="shared" si="7"/>
        <v>0</v>
      </c>
      <c r="Q8" s="105">
        <f t="shared" si="8"/>
        <v>0</v>
      </c>
      <c r="R8" s="106">
        <f t="shared" si="9"/>
        <v>0</v>
      </c>
      <c r="S8" s="114">
        <f t="shared" si="10"/>
        <v>9300</v>
      </c>
      <c r="T8" s="114">
        <f t="shared" si="0"/>
        <v>6500</v>
      </c>
      <c r="U8" s="114">
        <f t="shared" si="0"/>
        <v>11000</v>
      </c>
      <c r="V8" s="114">
        <v>100</v>
      </c>
      <c r="W8" s="114">
        <f t="shared" si="11"/>
        <v>9200</v>
      </c>
      <c r="X8" s="114">
        <f t="shared" si="12"/>
        <v>9400</v>
      </c>
      <c r="Y8" s="114">
        <f t="shared" si="13"/>
        <v>6350</v>
      </c>
      <c r="Z8" s="114">
        <f t="shared" si="14"/>
        <v>6650</v>
      </c>
      <c r="AA8" s="114">
        <f t="shared" si="15"/>
        <v>10800</v>
      </c>
      <c r="AB8" s="114">
        <f t="shared" si="16"/>
        <v>11200</v>
      </c>
      <c r="AC8" s="114">
        <f t="shared" si="18"/>
        <v>1</v>
      </c>
      <c r="AD8" s="114">
        <f t="shared" si="19"/>
        <v>1</v>
      </c>
      <c r="AE8" s="114">
        <f t="shared" si="20"/>
        <v>1</v>
      </c>
      <c r="AF8" s="114">
        <f t="shared" si="21"/>
        <v>0</v>
      </c>
      <c r="AG8" s="114">
        <f t="shared" si="22"/>
        <v>0</v>
      </c>
      <c r="AH8" s="114">
        <f t="shared" si="23"/>
        <v>0</v>
      </c>
    </row>
    <row r="9" spans="1:34" ht="19.95" customHeight="1">
      <c r="A9" s="87">
        <f t="shared" si="17"/>
        <v>30</v>
      </c>
      <c r="B9" s="88"/>
      <c r="C9" s="89"/>
      <c r="D9" s="90"/>
      <c r="E9" s="91"/>
      <c r="F9" s="92"/>
      <c r="G9" s="93"/>
      <c r="H9" s="92"/>
      <c r="I9" s="103"/>
      <c r="J9" s="104">
        <f t="shared" si="1"/>
        <v>0</v>
      </c>
      <c r="K9" s="105">
        <f t="shared" si="2"/>
        <v>0</v>
      </c>
      <c r="L9" s="106">
        <f t="shared" si="3"/>
        <v>0</v>
      </c>
      <c r="M9" s="104">
        <f t="shared" si="4"/>
        <v>0</v>
      </c>
      <c r="N9" s="105">
        <f t="shared" si="5"/>
        <v>0</v>
      </c>
      <c r="O9" s="106">
        <f t="shared" si="6"/>
        <v>0</v>
      </c>
      <c r="P9" s="104">
        <f t="shared" si="7"/>
        <v>0</v>
      </c>
      <c r="Q9" s="105">
        <f t="shared" si="8"/>
        <v>0</v>
      </c>
      <c r="R9" s="106">
        <f t="shared" si="9"/>
        <v>0</v>
      </c>
      <c r="S9" s="114">
        <f t="shared" si="10"/>
        <v>9300</v>
      </c>
      <c r="T9" s="114">
        <f t="shared" si="0"/>
        <v>6500</v>
      </c>
      <c r="U9" s="114">
        <f t="shared" si="0"/>
        <v>11000</v>
      </c>
      <c r="V9" s="114">
        <v>100</v>
      </c>
      <c r="W9" s="114">
        <f t="shared" si="11"/>
        <v>9200</v>
      </c>
      <c r="X9" s="114">
        <f t="shared" si="12"/>
        <v>9400</v>
      </c>
      <c r="Y9" s="114">
        <f t="shared" si="13"/>
        <v>6350</v>
      </c>
      <c r="Z9" s="114">
        <f t="shared" si="14"/>
        <v>6650</v>
      </c>
      <c r="AA9" s="114">
        <f t="shared" si="15"/>
        <v>10800</v>
      </c>
      <c r="AB9" s="114">
        <f t="shared" si="16"/>
        <v>11200</v>
      </c>
      <c r="AC9" s="114">
        <f t="shared" si="18"/>
        <v>1</v>
      </c>
      <c r="AD9" s="114">
        <f t="shared" si="19"/>
        <v>1</v>
      </c>
      <c r="AE9" s="114">
        <f t="shared" si="20"/>
        <v>1</v>
      </c>
      <c r="AF9" s="114">
        <f t="shared" si="21"/>
        <v>0</v>
      </c>
      <c r="AG9" s="114">
        <f t="shared" si="22"/>
        <v>0</v>
      </c>
      <c r="AH9" s="114">
        <f t="shared" si="23"/>
        <v>0</v>
      </c>
    </row>
    <row r="10" spans="1:34" ht="19.95" customHeight="1">
      <c r="A10" s="87">
        <f t="shared" si="17"/>
        <v>35</v>
      </c>
      <c r="B10" s="88"/>
      <c r="C10" s="89"/>
      <c r="D10" s="90"/>
      <c r="E10" s="91"/>
      <c r="F10" s="92"/>
      <c r="G10" s="93"/>
      <c r="H10" s="92"/>
      <c r="I10" s="103"/>
      <c r="J10" s="104">
        <f t="shared" si="1"/>
        <v>0</v>
      </c>
      <c r="K10" s="105">
        <f t="shared" si="2"/>
        <v>0</v>
      </c>
      <c r="L10" s="106">
        <f t="shared" si="3"/>
        <v>0</v>
      </c>
      <c r="M10" s="104">
        <f t="shared" si="4"/>
        <v>0</v>
      </c>
      <c r="N10" s="105">
        <f t="shared" si="5"/>
        <v>0</v>
      </c>
      <c r="O10" s="106">
        <f t="shared" si="6"/>
        <v>0</v>
      </c>
      <c r="P10" s="104">
        <f t="shared" si="7"/>
        <v>0</v>
      </c>
      <c r="Q10" s="105">
        <f t="shared" si="8"/>
        <v>0</v>
      </c>
      <c r="R10" s="106">
        <f t="shared" si="9"/>
        <v>0</v>
      </c>
      <c r="S10" s="114">
        <f t="shared" si="10"/>
        <v>9300</v>
      </c>
      <c r="T10" s="114">
        <f t="shared" si="0"/>
        <v>6500</v>
      </c>
      <c r="U10" s="114">
        <f t="shared" si="0"/>
        <v>11000</v>
      </c>
      <c r="V10" s="114">
        <v>100</v>
      </c>
      <c r="W10" s="114">
        <f t="shared" si="11"/>
        <v>9200</v>
      </c>
      <c r="X10" s="114">
        <f t="shared" si="12"/>
        <v>9400</v>
      </c>
      <c r="Y10" s="114">
        <f t="shared" si="13"/>
        <v>6350</v>
      </c>
      <c r="Z10" s="114">
        <f t="shared" si="14"/>
        <v>6650</v>
      </c>
      <c r="AA10" s="114">
        <f t="shared" si="15"/>
        <v>10800</v>
      </c>
      <c r="AB10" s="114">
        <f t="shared" si="16"/>
        <v>11200</v>
      </c>
      <c r="AC10" s="114">
        <f t="shared" si="18"/>
        <v>1</v>
      </c>
      <c r="AD10" s="114">
        <f t="shared" si="19"/>
        <v>1</v>
      </c>
      <c r="AE10" s="114">
        <f t="shared" si="20"/>
        <v>1</v>
      </c>
      <c r="AF10" s="114">
        <f t="shared" si="21"/>
        <v>0</v>
      </c>
      <c r="AG10" s="114">
        <f t="shared" si="22"/>
        <v>0</v>
      </c>
      <c r="AH10" s="114">
        <f t="shared" si="23"/>
        <v>0</v>
      </c>
    </row>
    <row r="11" spans="1:34" ht="19.95" customHeight="1">
      <c r="A11" s="87">
        <f t="shared" si="17"/>
        <v>40</v>
      </c>
      <c r="B11" s="88"/>
      <c r="C11" s="89"/>
      <c r="D11" s="90"/>
      <c r="E11" s="91"/>
      <c r="F11" s="92"/>
      <c r="G11" s="93"/>
      <c r="H11" s="92"/>
      <c r="I11" s="103"/>
      <c r="J11" s="104">
        <f t="shared" si="1"/>
        <v>0</v>
      </c>
      <c r="K11" s="105">
        <f t="shared" si="2"/>
        <v>0</v>
      </c>
      <c r="L11" s="106">
        <f t="shared" si="3"/>
        <v>0</v>
      </c>
      <c r="M11" s="104">
        <f t="shared" si="4"/>
        <v>0</v>
      </c>
      <c r="N11" s="105">
        <f t="shared" si="5"/>
        <v>0</v>
      </c>
      <c r="O11" s="106">
        <f t="shared" si="6"/>
        <v>0</v>
      </c>
      <c r="P11" s="104">
        <f t="shared" si="7"/>
        <v>0</v>
      </c>
      <c r="Q11" s="105">
        <f t="shared" si="8"/>
        <v>0</v>
      </c>
      <c r="R11" s="106">
        <f t="shared" si="9"/>
        <v>0</v>
      </c>
      <c r="S11" s="114">
        <f t="shared" si="10"/>
        <v>9300</v>
      </c>
      <c r="T11" s="114">
        <f t="shared" si="0"/>
        <v>6500</v>
      </c>
      <c r="U11" s="114">
        <f t="shared" si="0"/>
        <v>11000</v>
      </c>
      <c r="V11" s="114">
        <v>100</v>
      </c>
      <c r="W11" s="114">
        <f t="shared" si="11"/>
        <v>9200</v>
      </c>
      <c r="X11" s="114">
        <f t="shared" si="12"/>
        <v>9400</v>
      </c>
      <c r="Y11" s="114">
        <f t="shared" si="13"/>
        <v>6350</v>
      </c>
      <c r="Z11" s="114">
        <f t="shared" si="14"/>
        <v>6650</v>
      </c>
      <c r="AA11" s="114">
        <f t="shared" si="15"/>
        <v>10800</v>
      </c>
      <c r="AB11" s="114">
        <f t="shared" si="16"/>
        <v>11200</v>
      </c>
      <c r="AC11" s="114">
        <f t="shared" si="18"/>
        <v>1</v>
      </c>
      <c r="AD11" s="114">
        <f t="shared" si="19"/>
        <v>1</v>
      </c>
      <c r="AE11" s="114">
        <f t="shared" si="20"/>
        <v>1</v>
      </c>
      <c r="AF11" s="114">
        <f t="shared" si="21"/>
        <v>0</v>
      </c>
      <c r="AG11" s="114">
        <f t="shared" si="22"/>
        <v>0</v>
      </c>
      <c r="AH11" s="114">
        <f t="shared" si="23"/>
        <v>0</v>
      </c>
    </row>
    <row r="12" spans="1:34" ht="19.95" customHeight="1">
      <c r="A12" s="87">
        <f t="shared" si="17"/>
        <v>45</v>
      </c>
      <c r="B12" s="88"/>
      <c r="C12" s="89"/>
      <c r="D12" s="90"/>
      <c r="E12" s="91"/>
      <c r="F12" s="92"/>
      <c r="G12" s="93"/>
      <c r="H12" s="92"/>
      <c r="I12" s="103"/>
      <c r="J12" s="104">
        <f t="shared" si="1"/>
        <v>0</v>
      </c>
      <c r="K12" s="105">
        <f t="shared" si="2"/>
        <v>0</v>
      </c>
      <c r="L12" s="106">
        <f t="shared" si="3"/>
        <v>0</v>
      </c>
      <c r="M12" s="104">
        <f t="shared" si="4"/>
        <v>0</v>
      </c>
      <c r="N12" s="105">
        <f t="shared" si="5"/>
        <v>0</v>
      </c>
      <c r="O12" s="106">
        <f t="shared" si="6"/>
        <v>0</v>
      </c>
      <c r="P12" s="104">
        <f t="shared" si="7"/>
        <v>0</v>
      </c>
      <c r="Q12" s="105">
        <f t="shared" si="8"/>
        <v>0</v>
      </c>
      <c r="R12" s="106">
        <f t="shared" si="9"/>
        <v>0</v>
      </c>
      <c r="S12" s="114">
        <f t="shared" si="10"/>
        <v>9300</v>
      </c>
      <c r="T12" s="114">
        <f t="shared" si="0"/>
        <v>6500</v>
      </c>
      <c r="U12" s="114">
        <f t="shared" si="0"/>
        <v>11000</v>
      </c>
      <c r="V12" s="114">
        <v>100</v>
      </c>
      <c r="W12" s="114">
        <f t="shared" si="11"/>
        <v>9200</v>
      </c>
      <c r="X12" s="114">
        <f t="shared" si="12"/>
        <v>9400</v>
      </c>
      <c r="Y12" s="114">
        <f t="shared" si="13"/>
        <v>6350</v>
      </c>
      <c r="Z12" s="114">
        <f t="shared" si="14"/>
        <v>6650</v>
      </c>
      <c r="AA12" s="114">
        <f t="shared" si="15"/>
        <v>10800</v>
      </c>
      <c r="AB12" s="114">
        <f t="shared" si="16"/>
        <v>11200</v>
      </c>
      <c r="AC12" s="114">
        <f t="shared" si="18"/>
        <v>1</v>
      </c>
      <c r="AD12" s="114">
        <f t="shared" si="19"/>
        <v>1</v>
      </c>
      <c r="AE12" s="114">
        <f t="shared" si="20"/>
        <v>1</v>
      </c>
      <c r="AF12" s="114">
        <f t="shared" si="21"/>
        <v>0</v>
      </c>
      <c r="AG12" s="114">
        <f t="shared" si="22"/>
        <v>0</v>
      </c>
      <c r="AH12" s="114">
        <f t="shared" si="23"/>
        <v>0</v>
      </c>
    </row>
    <row r="13" spans="1:34" ht="19.95" customHeight="1">
      <c r="A13" s="87">
        <f t="shared" si="17"/>
        <v>50</v>
      </c>
      <c r="B13" s="88"/>
      <c r="C13" s="89"/>
      <c r="D13" s="90"/>
      <c r="E13" s="91"/>
      <c r="F13" s="92"/>
      <c r="G13" s="93"/>
      <c r="H13" s="92"/>
      <c r="I13" s="103"/>
      <c r="J13" s="104">
        <f t="shared" si="1"/>
        <v>0</v>
      </c>
      <c r="K13" s="105">
        <f t="shared" si="2"/>
        <v>0</v>
      </c>
      <c r="L13" s="106">
        <f t="shared" si="3"/>
        <v>0</v>
      </c>
      <c r="M13" s="104">
        <f t="shared" si="4"/>
        <v>0</v>
      </c>
      <c r="N13" s="105">
        <f t="shared" si="5"/>
        <v>0</v>
      </c>
      <c r="O13" s="106">
        <f t="shared" si="6"/>
        <v>0</v>
      </c>
      <c r="P13" s="104">
        <f t="shared" si="7"/>
        <v>0</v>
      </c>
      <c r="Q13" s="105">
        <f t="shared" si="8"/>
        <v>0</v>
      </c>
      <c r="R13" s="106">
        <f t="shared" si="9"/>
        <v>0</v>
      </c>
      <c r="S13" s="114">
        <f t="shared" si="10"/>
        <v>9300</v>
      </c>
      <c r="T13" s="114">
        <f t="shared" si="0"/>
        <v>6500</v>
      </c>
      <c r="U13" s="114">
        <f t="shared" si="0"/>
        <v>11000</v>
      </c>
      <c r="V13" s="114">
        <v>100</v>
      </c>
      <c r="W13" s="114">
        <f t="shared" si="11"/>
        <v>9200</v>
      </c>
      <c r="X13" s="114">
        <f t="shared" si="12"/>
        <v>9400</v>
      </c>
      <c r="Y13" s="114">
        <f t="shared" si="13"/>
        <v>6350</v>
      </c>
      <c r="Z13" s="114">
        <f t="shared" si="14"/>
        <v>6650</v>
      </c>
      <c r="AA13" s="114">
        <f t="shared" si="15"/>
        <v>10800</v>
      </c>
      <c r="AB13" s="114">
        <f t="shared" si="16"/>
        <v>11200</v>
      </c>
      <c r="AC13" s="114">
        <f t="shared" si="18"/>
        <v>1</v>
      </c>
      <c r="AD13" s="114">
        <f t="shared" si="19"/>
        <v>1</v>
      </c>
      <c r="AE13" s="114">
        <f t="shared" si="20"/>
        <v>1</v>
      </c>
      <c r="AF13" s="114">
        <f t="shared" si="21"/>
        <v>0</v>
      </c>
      <c r="AG13" s="114">
        <f t="shared" si="22"/>
        <v>0</v>
      </c>
      <c r="AH13" s="114">
        <f t="shared" si="23"/>
        <v>0</v>
      </c>
    </row>
    <row r="14" spans="1:34" ht="21" customHeight="1">
      <c r="A14" s="87">
        <f t="shared" si="17"/>
        <v>55</v>
      </c>
      <c r="B14" s="88"/>
      <c r="C14" s="89"/>
      <c r="D14" s="90"/>
      <c r="E14" s="91"/>
      <c r="F14" s="92"/>
      <c r="G14" s="93"/>
      <c r="H14" s="92"/>
      <c r="I14" s="103"/>
      <c r="J14" s="104">
        <f t="shared" si="1"/>
        <v>0</v>
      </c>
      <c r="K14" s="105">
        <f t="shared" si="2"/>
        <v>0</v>
      </c>
      <c r="L14" s="106">
        <f t="shared" si="3"/>
        <v>0</v>
      </c>
      <c r="M14" s="104">
        <f t="shared" si="4"/>
        <v>0</v>
      </c>
      <c r="N14" s="105">
        <f t="shared" si="5"/>
        <v>0</v>
      </c>
      <c r="O14" s="106">
        <f t="shared" si="6"/>
        <v>0</v>
      </c>
      <c r="P14" s="104">
        <f t="shared" si="7"/>
        <v>0</v>
      </c>
      <c r="Q14" s="105">
        <f t="shared" si="8"/>
        <v>0</v>
      </c>
      <c r="R14" s="106">
        <f t="shared" si="9"/>
        <v>0</v>
      </c>
      <c r="S14" s="114">
        <f t="shared" si="10"/>
        <v>9300</v>
      </c>
      <c r="T14" s="114">
        <f t="shared" si="0"/>
        <v>6500</v>
      </c>
      <c r="U14" s="114">
        <f t="shared" si="0"/>
        <v>11000</v>
      </c>
      <c r="V14" s="114">
        <v>100</v>
      </c>
      <c r="W14" s="114">
        <f t="shared" si="11"/>
        <v>9200</v>
      </c>
      <c r="X14" s="114">
        <f t="shared" si="12"/>
        <v>9400</v>
      </c>
      <c r="Y14" s="114">
        <f t="shared" si="13"/>
        <v>6350</v>
      </c>
      <c r="Z14" s="114">
        <f t="shared" si="14"/>
        <v>6650</v>
      </c>
      <c r="AA14" s="114">
        <f t="shared" si="15"/>
        <v>10800</v>
      </c>
      <c r="AB14" s="114">
        <f t="shared" si="16"/>
        <v>11200</v>
      </c>
      <c r="AC14" s="114">
        <f t="shared" si="18"/>
        <v>1</v>
      </c>
      <c r="AD14" s="114">
        <f t="shared" si="19"/>
        <v>1</v>
      </c>
      <c r="AE14" s="114">
        <f t="shared" si="20"/>
        <v>1</v>
      </c>
      <c r="AF14" s="114">
        <f t="shared" si="21"/>
        <v>0</v>
      </c>
      <c r="AG14" s="114">
        <f t="shared" si="22"/>
        <v>0</v>
      </c>
      <c r="AH14" s="114">
        <f t="shared" si="23"/>
        <v>0</v>
      </c>
    </row>
    <row r="15" spans="1:34" ht="19.95" customHeight="1">
      <c r="A15" s="87">
        <f t="shared" si="17"/>
        <v>60</v>
      </c>
      <c r="B15" s="88"/>
      <c r="C15" s="89"/>
      <c r="D15" s="90"/>
      <c r="E15" s="91"/>
      <c r="F15" s="92"/>
      <c r="G15" s="93"/>
      <c r="H15" s="92"/>
      <c r="I15" s="103"/>
      <c r="J15" s="104">
        <f t="shared" si="1"/>
        <v>0</v>
      </c>
      <c r="K15" s="105">
        <f t="shared" si="2"/>
        <v>0</v>
      </c>
      <c r="L15" s="106">
        <f t="shared" si="3"/>
        <v>0</v>
      </c>
      <c r="M15" s="104">
        <f t="shared" si="4"/>
        <v>0</v>
      </c>
      <c r="N15" s="105">
        <f t="shared" si="5"/>
        <v>0</v>
      </c>
      <c r="O15" s="106">
        <f t="shared" si="6"/>
        <v>0</v>
      </c>
      <c r="P15" s="104">
        <f t="shared" si="7"/>
        <v>0</v>
      </c>
      <c r="Q15" s="105">
        <f t="shared" si="8"/>
        <v>0</v>
      </c>
      <c r="R15" s="106">
        <f t="shared" si="9"/>
        <v>0</v>
      </c>
      <c r="S15" s="114">
        <f t="shared" si="10"/>
        <v>9300</v>
      </c>
      <c r="T15" s="114">
        <f t="shared" si="0"/>
        <v>6500</v>
      </c>
      <c r="U15" s="114">
        <f t="shared" si="0"/>
        <v>11000</v>
      </c>
      <c r="V15" s="114">
        <v>100</v>
      </c>
      <c r="W15" s="114">
        <f t="shared" si="11"/>
        <v>9200</v>
      </c>
      <c r="X15" s="114">
        <f t="shared" si="12"/>
        <v>9400</v>
      </c>
      <c r="Y15" s="114">
        <f t="shared" si="13"/>
        <v>6350</v>
      </c>
      <c r="Z15" s="114">
        <f t="shared" si="14"/>
        <v>6650</v>
      </c>
      <c r="AA15" s="114">
        <f t="shared" si="15"/>
        <v>10800</v>
      </c>
      <c r="AB15" s="114">
        <f t="shared" si="16"/>
        <v>11200</v>
      </c>
      <c r="AC15" s="114">
        <f t="shared" si="18"/>
        <v>1</v>
      </c>
      <c r="AD15" s="114">
        <f t="shared" si="19"/>
        <v>1</v>
      </c>
      <c r="AE15" s="114">
        <f t="shared" si="20"/>
        <v>1</v>
      </c>
      <c r="AF15" s="114">
        <f t="shared" si="21"/>
        <v>0</v>
      </c>
      <c r="AG15" s="114">
        <f t="shared" si="22"/>
        <v>0</v>
      </c>
      <c r="AH15" s="114">
        <f t="shared" si="23"/>
        <v>0</v>
      </c>
    </row>
    <row r="16" spans="1:34" ht="19.95" customHeight="1">
      <c r="A16" s="87">
        <f t="shared" si="17"/>
        <v>65</v>
      </c>
      <c r="B16" s="88"/>
      <c r="C16" s="89"/>
      <c r="D16" s="90"/>
      <c r="E16" s="91"/>
      <c r="F16" s="92"/>
      <c r="G16" s="93"/>
      <c r="H16" s="92"/>
      <c r="I16" s="103"/>
      <c r="J16" s="104">
        <f t="shared" si="1"/>
        <v>0</v>
      </c>
      <c r="K16" s="105">
        <f t="shared" si="2"/>
        <v>0</v>
      </c>
      <c r="L16" s="106">
        <f t="shared" si="3"/>
        <v>0</v>
      </c>
      <c r="M16" s="104">
        <f t="shared" si="4"/>
        <v>0</v>
      </c>
      <c r="N16" s="105">
        <f t="shared" si="5"/>
        <v>0</v>
      </c>
      <c r="O16" s="106">
        <f t="shared" si="6"/>
        <v>0</v>
      </c>
      <c r="P16" s="104">
        <f t="shared" si="7"/>
        <v>0</v>
      </c>
      <c r="Q16" s="105">
        <f t="shared" si="8"/>
        <v>0</v>
      </c>
      <c r="R16" s="106">
        <f t="shared" si="9"/>
        <v>0</v>
      </c>
      <c r="S16" s="114">
        <f t="shared" si="10"/>
        <v>9300</v>
      </c>
      <c r="T16" s="114">
        <f t="shared" si="0"/>
        <v>6500</v>
      </c>
      <c r="U16" s="114">
        <f t="shared" si="0"/>
        <v>11000</v>
      </c>
      <c r="V16" s="114">
        <v>100</v>
      </c>
      <c r="W16" s="114">
        <f t="shared" si="11"/>
        <v>9200</v>
      </c>
      <c r="X16" s="114">
        <f t="shared" si="12"/>
        <v>9400</v>
      </c>
      <c r="Y16" s="114">
        <f t="shared" si="13"/>
        <v>6350</v>
      </c>
      <c r="Z16" s="114">
        <f t="shared" si="14"/>
        <v>6650</v>
      </c>
      <c r="AA16" s="114">
        <f t="shared" si="15"/>
        <v>10800</v>
      </c>
      <c r="AB16" s="114">
        <f t="shared" si="16"/>
        <v>11200</v>
      </c>
      <c r="AC16" s="114">
        <f t="shared" si="18"/>
        <v>1</v>
      </c>
      <c r="AD16" s="114">
        <f t="shared" si="19"/>
        <v>1</v>
      </c>
      <c r="AE16" s="114">
        <f t="shared" si="20"/>
        <v>1</v>
      </c>
      <c r="AF16" s="114">
        <f t="shared" si="21"/>
        <v>0</v>
      </c>
      <c r="AG16" s="114">
        <f t="shared" si="22"/>
        <v>0</v>
      </c>
      <c r="AH16" s="114">
        <f t="shared" si="23"/>
        <v>0</v>
      </c>
    </row>
    <row r="17" spans="1:34" ht="19.95" customHeight="1">
      <c r="A17" s="87">
        <f t="shared" si="17"/>
        <v>70</v>
      </c>
      <c r="B17" s="88"/>
      <c r="C17" s="89"/>
      <c r="D17" s="90"/>
      <c r="E17" s="91"/>
      <c r="F17" s="92"/>
      <c r="G17" s="93"/>
      <c r="H17" s="92"/>
      <c r="I17" s="103"/>
      <c r="J17" s="104">
        <f t="shared" si="1"/>
        <v>0</v>
      </c>
      <c r="K17" s="105">
        <f t="shared" si="2"/>
        <v>0</v>
      </c>
      <c r="L17" s="106">
        <f t="shared" si="3"/>
        <v>0</v>
      </c>
      <c r="M17" s="104">
        <f t="shared" si="4"/>
        <v>0</v>
      </c>
      <c r="N17" s="105">
        <f t="shared" si="5"/>
        <v>0</v>
      </c>
      <c r="O17" s="106">
        <f t="shared" si="6"/>
        <v>0</v>
      </c>
      <c r="P17" s="104">
        <f t="shared" si="7"/>
        <v>0</v>
      </c>
      <c r="Q17" s="105">
        <f t="shared" si="8"/>
        <v>0</v>
      </c>
      <c r="R17" s="106">
        <f t="shared" si="9"/>
        <v>0</v>
      </c>
      <c r="S17" s="114">
        <f t="shared" si="10"/>
        <v>9300</v>
      </c>
      <c r="T17" s="114">
        <f t="shared" si="0"/>
        <v>6500</v>
      </c>
      <c r="U17" s="114">
        <f t="shared" si="0"/>
        <v>11000</v>
      </c>
      <c r="V17" s="114">
        <v>100</v>
      </c>
      <c r="W17" s="114">
        <f t="shared" si="11"/>
        <v>9200</v>
      </c>
      <c r="X17" s="114">
        <f t="shared" si="12"/>
        <v>9400</v>
      </c>
      <c r="Y17" s="114">
        <f t="shared" si="13"/>
        <v>6350</v>
      </c>
      <c r="Z17" s="114">
        <f t="shared" si="14"/>
        <v>6650</v>
      </c>
      <c r="AA17" s="114">
        <f t="shared" si="15"/>
        <v>10800</v>
      </c>
      <c r="AB17" s="114">
        <f t="shared" si="16"/>
        <v>11200</v>
      </c>
      <c r="AC17" s="114">
        <f t="shared" si="18"/>
        <v>1</v>
      </c>
      <c r="AD17" s="114">
        <f t="shared" si="19"/>
        <v>1</v>
      </c>
      <c r="AE17" s="114">
        <f t="shared" si="20"/>
        <v>1</v>
      </c>
      <c r="AF17" s="114">
        <f t="shared" si="21"/>
        <v>0</v>
      </c>
      <c r="AG17" s="114">
        <f t="shared" si="22"/>
        <v>0</v>
      </c>
      <c r="AH17" s="114">
        <f t="shared" si="23"/>
        <v>0</v>
      </c>
    </row>
    <row r="18" spans="1:34" ht="19.95" customHeight="1">
      <c r="A18" s="87">
        <f t="shared" si="17"/>
        <v>75</v>
      </c>
      <c r="B18" s="88"/>
      <c r="C18" s="89"/>
      <c r="D18" s="90"/>
      <c r="E18" s="91"/>
      <c r="F18" s="92"/>
      <c r="G18" s="93"/>
      <c r="H18" s="92"/>
      <c r="I18" s="103"/>
      <c r="J18" s="104">
        <f t="shared" si="1"/>
        <v>0</v>
      </c>
      <c r="K18" s="105">
        <f t="shared" si="2"/>
        <v>0</v>
      </c>
      <c r="L18" s="106">
        <f t="shared" si="3"/>
        <v>0</v>
      </c>
      <c r="M18" s="104">
        <f t="shared" si="4"/>
        <v>0</v>
      </c>
      <c r="N18" s="105">
        <f t="shared" si="5"/>
        <v>0</v>
      </c>
      <c r="O18" s="106">
        <f t="shared" si="6"/>
        <v>0</v>
      </c>
      <c r="P18" s="104">
        <f t="shared" si="7"/>
        <v>0</v>
      </c>
      <c r="Q18" s="105">
        <f t="shared" si="8"/>
        <v>0</v>
      </c>
      <c r="R18" s="106">
        <f t="shared" si="9"/>
        <v>0</v>
      </c>
      <c r="S18" s="114">
        <f t="shared" si="10"/>
        <v>9300</v>
      </c>
      <c r="T18" s="114">
        <f t="shared" si="0"/>
        <v>6500</v>
      </c>
      <c r="U18" s="114">
        <f t="shared" si="0"/>
        <v>11000</v>
      </c>
      <c r="V18" s="114">
        <v>100</v>
      </c>
      <c r="W18" s="114">
        <f t="shared" si="11"/>
        <v>9200</v>
      </c>
      <c r="X18" s="114">
        <f t="shared" si="12"/>
        <v>9400</v>
      </c>
      <c r="Y18" s="114">
        <f t="shared" si="13"/>
        <v>6350</v>
      </c>
      <c r="Z18" s="114">
        <f t="shared" si="14"/>
        <v>6650</v>
      </c>
      <c r="AA18" s="114">
        <f t="shared" si="15"/>
        <v>10800</v>
      </c>
      <c r="AB18" s="114">
        <f t="shared" si="16"/>
        <v>11200</v>
      </c>
      <c r="AC18" s="114">
        <f t="shared" si="18"/>
        <v>1</v>
      </c>
      <c r="AD18" s="114">
        <f t="shared" si="19"/>
        <v>1</v>
      </c>
      <c r="AE18" s="114">
        <f t="shared" si="20"/>
        <v>1</v>
      </c>
      <c r="AF18" s="114">
        <f t="shared" si="21"/>
        <v>0</v>
      </c>
      <c r="AG18" s="114">
        <f t="shared" si="22"/>
        <v>0</v>
      </c>
      <c r="AH18" s="114">
        <f t="shared" si="23"/>
        <v>0</v>
      </c>
    </row>
    <row r="19" spans="1:34" ht="19.95" customHeight="1">
      <c r="A19" s="87">
        <f t="shared" si="17"/>
        <v>80</v>
      </c>
      <c r="B19" s="88"/>
      <c r="C19" s="89"/>
      <c r="D19" s="90"/>
      <c r="E19" s="91"/>
      <c r="F19" s="92"/>
      <c r="G19" s="93"/>
      <c r="H19" s="92"/>
      <c r="I19" s="103"/>
      <c r="J19" s="104">
        <f t="shared" si="1"/>
        <v>0</v>
      </c>
      <c r="K19" s="105">
        <f t="shared" si="2"/>
        <v>0</v>
      </c>
      <c r="L19" s="106">
        <f t="shared" si="3"/>
        <v>0</v>
      </c>
      <c r="M19" s="104">
        <f t="shared" si="4"/>
        <v>0</v>
      </c>
      <c r="N19" s="105">
        <f t="shared" si="5"/>
        <v>0</v>
      </c>
      <c r="O19" s="106">
        <f t="shared" si="6"/>
        <v>0</v>
      </c>
      <c r="P19" s="104">
        <f t="shared" si="7"/>
        <v>0</v>
      </c>
      <c r="Q19" s="105">
        <f t="shared" si="8"/>
        <v>0</v>
      </c>
      <c r="R19" s="106">
        <f t="shared" si="9"/>
        <v>0</v>
      </c>
      <c r="S19" s="114">
        <f t="shared" si="10"/>
        <v>9300</v>
      </c>
      <c r="T19" s="114">
        <f t="shared" si="10"/>
        <v>6500</v>
      </c>
      <c r="U19" s="114">
        <f t="shared" si="10"/>
        <v>11000</v>
      </c>
      <c r="V19" s="114">
        <v>100</v>
      </c>
      <c r="W19" s="114">
        <f t="shared" si="11"/>
        <v>9200</v>
      </c>
      <c r="X19" s="114">
        <f t="shared" si="12"/>
        <v>9400</v>
      </c>
      <c r="Y19" s="114">
        <f t="shared" si="13"/>
        <v>6350</v>
      </c>
      <c r="Z19" s="114">
        <f t="shared" si="14"/>
        <v>6650</v>
      </c>
      <c r="AA19" s="114">
        <f t="shared" si="15"/>
        <v>10800</v>
      </c>
      <c r="AB19" s="114">
        <f t="shared" si="16"/>
        <v>11200</v>
      </c>
      <c r="AC19" s="114">
        <f t="shared" si="18"/>
        <v>1</v>
      </c>
      <c r="AD19" s="114">
        <f t="shared" si="19"/>
        <v>1</v>
      </c>
      <c r="AE19" s="114">
        <f t="shared" si="20"/>
        <v>1</v>
      </c>
      <c r="AF19" s="114">
        <f t="shared" si="21"/>
        <v>0</v>
      </c>
      <c r="AG19" s="114">
        <f t="shared" si="22"/>
        <v>0</v>
      </c>
      <c r="AH19" s="114">
        <f t="shared" si="23"/>
        <v>0</v>
      </c>
    </row>
    <row r="20" spans="1:34" ht="21" customHeight="1">
      <c r="A20" s="87">
        <f t="shared" si="17"/>
        <v>85</v>
      </c>
      <c r="B20" s="88"/>
      <c r="C20" s="89"/>
      <c r="D20" s="90"/>
      <c r="E20" s="91"/>
      <c r="F20" s="92"/>
      <c r="G20" s="93"/>
      <c r="H20" s="92"/>
      <c r="I20" s="103"/>
      <c r="J20" s="104">
        <f t="shared" si="1"/>
        <v>0</v>
      </c>
      <c r="K20" s="105">
        <f t="shared" si="2"/>
        <v>0</v>
      </c>
      <c r="L20" s="106">
        <f t="shared" si="3"/>
        <v>0</v>
      </c>
      <c r="M20" s="104">
        <f t="shared" si="4"/>
        <v>0</v>
      </c>
      <c r="N20" s="105">
        <f t="shared" si="5"/>
        <v>0</v>
      </c>
      <c r="O20" s="106">
        <f t="shared" si="6"/>
        <v>0</v>
      </c>
      <c r="P20" s="104">
        <f t="shared" si="7"/>
        <v>0</v>
      </c>
      <c r="Q20" s="105">
        <f t="shared" si="8"/>
        <v>0</v>
      </c>
      <c r="R20" s="106">
        <f t="shared" si="9"/>
        <v>0</v>
      </c>
      <c r="S20" s="114">
        <f t="shared" si="10"/>
        <v>9300</v>
      </c>
      <c r="T20" s="114">
        <f t="shared" si="10"/>
        <v>6500</v>
      </c>
      <c r="U20" s="114">
        <f t="shared" si="10"/>
        <v>11000</v>
      </c>
      <c r="V20" s="114">
        <v>100</v>
      </c>
      <c r="W20" s="114">
        <f t="shared" si="11"/>
        <v>9200</v>
      </c>
      <c r="X20" s="114">
        <f t="shared" si="12"/>
        <v>9400</v>
      </c>
      <c r="Y20" s="114">
        <f t="shared" si="13"/>
        <v>6350</v>
      </c>
      <c r="Z20" s="114">
        <f t="shared" si="14"/>
        <v>6650</v>
      </c>
      <c r="AA20" s="114">
        <f t="shared" si="15"/>
        <v>10800</v>
      </c>
      <c r="AB20" s="114">
        <f t="shared" si="16"/>
        <v>11200</v>
      </c>
      <c r="AC20" s="114">
        <f t="shared" si="18"/>
        <v>1</v>
      </c>
      <c r="AD20" s="114">
        <f t="shared" si="19"/>
        <v>1</v>
      </c>
      <c r="AE20" s="114">
        <f t="shared" si="20"/>
        <v>1</v>
      </c>
      <c r="AF20" s="114">
        <f t="shared" si="21"/>
        <v>0</v>
      </c>
      <c r="AG20" s="114">
        <f t="shared" si="22"/>
        <v>0</v>
      </c>
      <c r="AH20" s="114">
        <f t="shared" si="23"/>
        <v>0</v>
      </c>
    </row>
    <row r="21" spans="1:34" ht="19.95" customHeight="1">
      <c r="A21" s="87">
        <f t="shared" si="17"/>
        <v>90</v>
      </c>
      <c r="B21" s="88"/>
      <c r="C21" s="89"/>
      <c r="D21" s="90"/>
      <c r="E21" s="91"/>
      <c r="F21" s="92"/>
      <c r="G21" s="93"/>
      <c r="H21" s="92"/>
      <c r="I21" s="103"/>
      <c r="J21" s="104">
        <f t="shared" si="1"/>
        <v>0</v>
      </c>
      <c r="K21" s="105">
        <f t="shared" si="2"/>
        <v>0</v>
      </c>
      <c r="L21" s="106">
        <f t="shared" si="3"/>
        <v>0</v>
      </c>
      <c r="M21" s="104">
        <f t="shared" si="4"/>
        <v>0</v>
      </c>
      <c r="N21" s="105">
        <f t="shared" si="5"/>
        <v>0</v>
      </c>
      <c r="O21" s="106">
        <f t="shared" si="6"/>
        <v>0</v>
      </c>
      <c r="P21" s="104">
        <f t="shared" si="7"/>
        <v>0</v>
      </c>
      <c r="Q21" s="105">
        <f t="shared" si="8"/>
        <v>0</v>
      </c>
      <c r="R21" s="106">
        <f t="shared" si="9"/>
        <v>0</v>
      </c>
      <c r="S21" s="114">
        <f t="shared" si="10"/>
        <v>9300</v>
      </c>
      <c r="T21" s="114">
        <f t="shared" si="10"/>
        <v>6500</v>
      </c>
      <c r="U21" s="114">
        <f t="shared" si="10"/>
        <v>11000</v>
      </c>
      <c r="V21" s="114">
        <v>100</v>
      </c>
      <c r="W21" s="114">
        <f t="shared" si="11"/>
        <v>9200</v>
      </c>
      <c r="X21" s="114">
        <f t="shared" si="12"/>
        <v>9400</v>
      </c>
      <c r="Y21" s="114">
        <f t="shared" si="13"/>
        <v>6350</v>
      </c>
      <c r="Z21" s="114">
        <f t="shared" si="14"/>
        <v>6650</v>
      </c>
      <c r="AA21" s="114">
        <f t="shared" si="15"/>
        <v>10800</v>
      </c>
      <c r="AB21" s="114">
        <f t="shared" si="16"/>
        <v>11200</v>
      </c>
      <c r="AC21" s="114">
        <f t="shared" si="18"/>
        <v>1</v>
      </c>
      <c r="AD21" s="114">
        <f t="shared" si="19"/>
        <v>1</v>
      </c>
      <c r="AE21" s="114">
        <f t="shared" si="20"/>
        <v>1</v>
      </c>
      <c r="AF21" s="114">
        <f t="shared" si="21"/>
        <v>0</v>
      </c>
      <c r="AG21" s="114">
        <f t="shared" si="22"/>
        <v>0</v>
      </c>
      <c r="AH21" s="114">
        <f t="shared" si="23"/>
        <v>0</v>
      </c>
    </row>
    <row r="22" spans="1:34" ht="19.95" customHeight="1">
      <c r="A22" s="87">
        <f t="shared" si="17"/>
        <v>95</v>
      </c>
      <c r="B22" s="88"/>
      <c r="C22" s="89"/>
      <c r="D22" s="90"/>
      <c r="E22" s="91"/>
      <c r="F22" s="92"/>
      <c r="G22" s="93"/>
      <c r="H22" s="92"/>
      <c r="I22" s="103"/>
      <c r="J22" s="104">
        <f t="shared" si="1"/>
        <v>0</v>
      </c>
      <c r="K22" s="105">
        <f t="shared" si="2"/>
        <v>0</v>
      </c>
      <c r="L22" s="106">
        <f t="shared" si="3"/>
        <v>0</v>
      </c>
      <c r="M22" s="104">
        <f t="shared" si="4"/>
        <v>0</v>
      </c>
      <c r="N22" s="105">
        <f t="shared" si="5"/>
        <v>0</v>
      </c>
      <c r="O22" s="106">
        <f t="shared" si="6"/>
        <v>0</v>
      </c>
      <c r="P22" s="104">
        <f t="shared" si="7"/>
        <v>0</v>
      </c>
      <c r="Q22" s="105">
        <f t="shared" si="8"/>
        <v>0</v>
      </c>
      <c r="R22" s="106">
        <f t="shared" si="9"/>
        <v>0</v>
      </c>
      <c r="S22" s="114">
        <f t="shared" si="10"/>
        <v>9300</v>
      </c>
      <c r="T22" s="114">
        <f t="shared" si="10"/>
        <v>6500</v>
      </c>
      <c r="U22" s="114">
        <f t="shared" si="10"/>
        <v>11000</v>
      </c>
      <c r="V22" s="114">
        <v>100</v>
      </c>
      <c r="W22" s="114">
        <f t="shared" si="11"/>
        <v>9200</v>
      </c>
      <c r="X22" s="114">
        <f t="shared" si="12"/>
        <v>9400</v>
      </c>
      <c r="Y22" s="114">
        <f t="shared" si="13"/>
        <v>6350</v>
      </c>
      <c r="Z22" s="114">
        <f t="shared" si="14"/>
        <v>6650</v>
      </c>
      <c r="AA22" s="114">
        <f t="shared" si="15"/>
        <v>10800</v>
      </c>
      <c r="AB22" s="114">
        <f t="shared" si="16"/>
        <v>11200</v>
      </c>
      <c r="AC22" s="114">
        <f t="shared" si="18"/>
        <v>1</v>
      </c>
      <c r="AD22" s="114">
        <f t="shared" si="19"/>
        <v>1</v>
      </c>
      <c r="AE22" s="114">
        <f t="shared" si="20"/>
        <v>1</v>
      </c>
      <c r="AF22" s="114">
        <f t="shared" si="21"/>
        <v>0</v>
      </c>
      <c r="AG22" s="114">
        <f t="shared" si="22"/>
        <v>0</v>
      </c>
      <c r="AH22" s="114">
        <f t="shared" si="23"/>
        <v>0</v>
      </c>
    </row>
    <row r="23" spans="1:34" ht="19.95" customHeight="1">
      <c r="A23" s="87">
        <f t="shared" si="17"/>
        <v>100</v>
      </c>
      <c r="B23" s="88"/>
      <c r="C23" s="89"/>
      <c r="D23" s="94"/>
      <c r="E23" s="95"/>
      <c r="F23" s="96"/>
      <c r="G23" s="97"/>
      <c r="H23" s="96"/>
      <c r="I23" s="107"/>
      <c r="J23" s="104">
        <f t="shared" si="1"/>
        <v>0</v>
      </c>
      <c r="K23" s="105">
        <f t="shared" si="2"/>
        <v>0</v>
      </c>
      <c r="L23" s="106">
        <f t="shared" si="3"/>
        <v>0</v>
      </c>
      <c r="M23" s="104">
        <f t="shared" si="4"/>
        <v>0</v>
      </c>
      <c r="N23" s="105">
        <f t="shared" si="5"/>
        <v>0</v>
      </c>
      <c r="O23" s="106">
        <f t="shared" si="6"/>
        <v>0</v>
      </c>
      <c r="P23" s="104">
        <f t="shared" si="7"/>
        <v>0</v>
      </c>
      <c r="Q23" s="105">
        <f t="shared" si="8"/>
        <v>0</v>
      </c>
      <c r="R23" s="106">
        <f t="shared" si="9"/>
        <v>0</v>
      </c>
      <c r="S23" s="114">
        <f t="shared" si="10"/>
        <v>9300</v>
      </c>
      <c r="T23" s="114">
        <f t="shared" si="10"/>
        <v>6500</v>
      </c>
      <c r="U23" s="114">
        <f t="shared" si="10"/>
        <v>11000</v>
      </c>
      <c r="V23" s="114">
        <v>100</v>
      </c>
      <c r="W23" s="114">
        <f t="shared" si="11"/>
        <v>9200</v>
      </c>
      <c r="X23" s="114">
        <f t="shared" si="12"/>
        <v>9400</v>
      </c>
      <c r="Y23" s="114">
        <f t="shared" si="13"/>
        <v>6350</v>
      </c>
      <c r="Z23" s="114">
        <f t="shared" si="14"/>
        <v>6650</v>
      </c>
      <c r="AA23" s="114">
        <f t="shared" si="15"/>
        <v>10800</v>
      </c>
      <c r="AB23" s="114">
        <f t="shared" si="16"/>
        <v>11200</v>
      </c>
      <c r="AC23" s="114">
        <f t="shared" si="18"/>
        <v>1</v>
      </c>
      <c r="AD23" s="114">
        <f t="shared" si="19"/>
        <v>1</v>
      </c>
      <c r="AE23" s="114">
        <f t="shared" si="20"/>
        <v>1</v>
      </c>
      <c r="AF23" s="114">
        <f t="shared" si="21"/>
        <v>0</v>
      </c>
      <c r="AG23" s="114">
        <f t="shared" si="22"/>
        <v>0</v>
      </c>
      <c r="AH23" s="114">
        <f t="shared" si="23"/>
        <v>0</v>
      </c>
    </row>
    <row r="24" spans="1:34" ht="19.95" customHeight="1">
      <c r="I24" s="108"/>
      <c r="J24" s="100">
        <v>3</v>
      </c>
      <c r="K24" s="101">
        <v>2.2000000000000002</v>
      </c>
      <c r="L24" s="102">
        <v>1.9</v>
      </c>
      <c r="M24" s="100">
        <v>3</v>
      </c>
      <c r="N24" s="101">
        <v>2.2000000000000002</v>
      </c>
      <c r="O24" s="102">
        <v>1.9</v>
      </c>
      <c r="P24" s="100">
        <v>3</v>
      </c>
      <c r="Q24" s="101">
        <v>2.2000000000000002</v>
      </c>
      <c r="R24" s="102">
        <v>1.9</v>
      </c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>
        <f t="shared" ref="AC24:AH24" si="24">SUM(AC4:AC23)</f>
        <v>20</v>
      </c>
      <c r="AD24" s="114">
        <f t="shared" si="24"/>
        <v>20</v>
      </c>
      <c r="AE24" s="114">
        <f t="shared" si="24"/>
        <v>20</v>
      </c>
      <c r="AF24" s="114">
        <f t="shared" si="24"/>
        <v>0</v>
      </c>
      <c r="AG24" s="114">
        <f t="shared" si="24"/>
        <v>0</v>
      </c>
      <c r="AH24" s="114">
        <f t="shared" si="24"/>
        <v>0</v>
      </c>
    </row>
    <row r="25" spans="1:34" ht="19.95" customHeight="1">
      <c r="J25" s="109">
        <f>C23/(100^J24)</f>
        <v>0</v>
      </c>
      <c r="K25" s="110">
        <f>C23/(100^K24)</f>
        <v>0</v>
      </c>
      <c r="L25" s="111">
        <f>C23/(100^L24)</f>
        <v>0</v>
      </c>
      <c r="M25" s="109">
        <f>E23/(100^M24)</f>
        <v>0</v>
      </c>
      <c r="N25" s="110">
        <f>E23/(100^N24)</f>
        <v>0</v>
      </c>
      <c r="O25" s="111">
        <f>E23/(100^O24)</f>
        <v>0</v>
      </c>
      <c r="P25" s="109">
        <f>G23/(100^P24)</f>
        <v>0</v>
      </c>
      <c r="Q25" s="110">
        <f>G23/(100^Q24)</f>
        <v>0</v>
      </c>
      <c r="R25" s="111">
        <f>G23/(100^R24)</f>
        <v>0</v>
      </c>
    </row>
    <row r="26" spans="1:34" ht="21" customHeight="1">
      <c r="K26" s="82"/>
    </row>
    <row r="49" spans="2:13">
      <c r="F49" s="98" t="s">
        <v>60</v>
      </c>
    </row>
    <row r="50" spans="2:13">
      <c r="B50" s="189" t="s">
        <v>72</v>
      </c>
      <c r="C50" s="190"/>
      <c r="D50" s="191"/>
      <c r="E50" s="99" t="s">
        <v>60</v>
      </c>
      <c r="F50" s="98" t="s">
        <v>61</v>
      </c>
    </row>
    <row r="51" spans="2:13">
      <c r="F51" s="98" t="s">
        <v>62</v>
      </c>
      <c r="J51" s="98" t="s">
        <v>73</v>
      </c>
      <c r="K51" s="112" t="s">
        <v>74</v>
      </c>
      <c r="L51" s="98">
        <v>2.2000000000000002</v>
      </c>
      <c r="M51" s="98">
        <v>1.9</v>
      </c>
    </row>
    <row r="52" spans="2:13">
      <c r="F52" s="98" t="s">
        <v>63</v>
      </c>
      <c r="J52" s="113">
        <f>IF($E$50=$B$1,C3,IF($E$50=$D$1,E3,IF($E$50=$F$1,G3,IF($E$50=$H$1,I3,"Wrong data"))))</f>
        <v>0</v>
      </c>
      <c r="K52" s="113">
        <f>IF($E$50=$B$1,J3,IF($E$50=$D$1,M3,IF($E$50=$F$1,P3,IF($E$50=$H$1,S3,"Wrong data"))))</f>
        <v>0</v>
      </c>
      <c r="L52" s="113">
        <f>IF($E$50=$B$1,K3,IF($E$50=$D$1,N3,IF($E$50=$F$1,Q3,IF($E$50=$H$1,T3,"Wrong data"))))</f>
        <v>0</v>
      </c>
      <c r="M52" s="113">
        <f>IF($E$50=$B$1,L3,IF($E$50=$D$1,O3,IF($E$50=$F$1,R3,IF($E$50=$H$1,U3,"Wrong data"))))</f>
        <v>0</v>
      </c>
    </row>
    <row r="53" spans="2:13">
      <c r="J53" s="113">
        <f t="shared" ref="J53:J72" si="25">IF($E$50=$B$1,C4,IF($E$50=$D$1,E4,IF($E$50=$F$1,G4,IF($E$50=$H$1,I4,"Wrong data"))))</f>
        <v>0</v>
      </c>
      <c r="K53" s="113">
        <f t="shared" ref="K53:M71" si="26">IF($E$50=$B$1,J4,IF($E$50=$D$1,M4,IF($E$50=$F$1,P4,IF($E$50=$H$1,S4,"Wrong data"))))</f>
        <v>0</v>
      </c>
      <c r="L53" s="113">
        <f t="shared" si="26"/>
        <v>0</v>
      </c>
      <c r="M53" s="113">
        <f t="shared" si="26"/>
        <v>0</v>
      </c>
    </row>
    <row r="54" spans="2:13">
      <c r="J54" s="113">
        <f t="shared" si="25"/>
        <v>0</v>
      </c>
      <c r="K54" s="113">
        <f t="shared" si="26"/>
        <v>0</v>
      </c>
      <c r="L54" s="113">
        <f t="shared" si="26"/>
        <v>0</v>
      </c>
      <c r="M54" s="113">
        <f t="shared" si="26"/>
        <v>0</v>
      </c>
    </row>
    <row r="55" spans="2:13">
      <c r="J55" s="113">
        <f t="shared" si="25"/>
        <v>0</v>
      </c>
      <c r="K55" s="113">
        <f t="shared" si="26"/>
        <v>0</v>
      </c>
      <c r="L55" s="113">
        <f t="shared" si="26"/>
        <v>0</v>
      </c>
      <c r="M55" s="113">
        <f t="shared" si="26"/>
        <v>0</v>
      </c>
    </row>
    <row r="56" spans="2:13">
      <c r="J56" s="113">
        <f t="shared" si="25"/>
        <v>0</v>
      </c>
      <c r="K56" s="113">
        <f t="shared" si="26"/>
        <v>0</v>
      </c>
      <c r="L56" s="113">
        <f t="shared" si="26"/>
        <v>0</v>
      </c>
      <c r="M56" s="113">
        <f t="shared" si="26"/>
        <v>0</v>
      </c>
    </row>
    <row r="57" spans="2:13">
      <c r="J57" s="113">
        <f t="shared" si="25"/>
        <v>0</v>
      </c>
      <c r="K57" s="113">
        <f t="shared" si="26"/>
        <v>0</v>
      </c>
      <c r="L57" s="113">
        <f t="shared" si="26"/>
        <v>0</v>
      </c>
      <c r="M57" s="113">
        <f t="shared" si="26"/>
        <v>0</v>
      </c>
    </row>
    <row r="58" spans="2:13">
      <c r="J58" s="113">
        <f t="shared" si="25"/>
        <v>0</v>
      </c>
      <c r="K58" s="113">
        <f t="shared" si="26"/>
        <v>0</v>
      </c>
      <c r="L58" s="113">
        <f t="shared" si="26"/>
        <v>0</v>
      </c>
      <c r="M58" s="113">
        <f t="shared" si="26"/>
        <v>0</v>
      </c>
    </row>
    <row r="59" spans="2:13">
      <c r="J59" s="113">
        <f t="shared" si="25"/>
        <v>0</v>
      </c>
      <c r="K59" s="113">
        <f t="shared" si="26"/>
        <v>0</v>
      </c>
      <c r="L59" s="113">
        <f t="shared" si="26"/>
        <v>0</v>
      </c>
      <c r="M59" s="113">
        <f t="shared" si="26"/>
        <v>0</v>
      </c>
    </row>
    <row r="60" spans="2:13">
      <c r="J60" s="113">
        <f t="shared" si="25"/>
        <v>0</v>
      </c>
      <c r="K60" s="113">
        <f t="shared" si="26"/>
        <v>0</v>
      </c>
      <c r="L60" s="113">
        <f t="shared" si="26"/>
        <v>0</v>
      </c>
      <c r="M60" s="113">
        <f t="shared" si="26"/>
        <v>0</v>
      </c>
    </row>
    <row r="61" spans="2:13">
      <c r="J61" s="113">
        <f t="shared" si="25"/>
        <v>0</v>
      </c>
      <c r="K61" s="113">
        <f t="shared" si="26"/>
        <v>0</v>
      </c>
      <c r="L61" s="113">
        <f t="shared" si="26"/>
        <v>0</v>
      </c>
      <c r="M61" s="113">
        <f t="shared" si="26"/>
        <v>0</v>
      </c>
    </row>
    <row r="62" spans="2:13">
      <c r="J62" s="113">
        <f t="shared" si="25"/>
        <v>0</v>
      </c>
      <c r="K62" s="113">
        <f t="shared" si="26"/>
        <v>0</v>
      </c>
      <c r="L62" s="113">
        <f t="shared" si="26"/>
        <v>0</v>
      </c>
      <c r="M62" s="113">
        <f t="shared" si="26"/>
        <v>0</v>
      </c>
    </row>
    <row r="63" spans="2:13">
      <c r="J63" s="113">
        <f t="shared" si="25"/>
        <v>0</v>
      </c>
      <c r="K63" s="113">
        <f t="shared" si="26"/>
        <v>0</v>
      </c>
      <c r="L63" s="113">
        <f t="shared" si="26"/>
        <v>0</v>
      </c>
      <c r="M63" s="113">
        <f t="shared" si="26"/>
        <v>0</v>
      </c>
    </row>
    <row r="64" spans="2:13">
      <c r="J64" s="113">
        <f>IF($E$50=$B$1,C15,IF($E$50=$D$1,E15,IF($E$50=$F$1,G15,IF($E$50=$H$1,I15,"Wrong data"))))</f>
        <v>0</v>
      </c>
      <c r="K64" s="113">
        <f t="shared" si="26"/>
        <v>0</v>
      </c>
      <c r="L64" s="113">
        <f t="shared" si="26"/>
        <v>0</v>
      </c>
      <c r="M64" s="113">
        <f t="shared" si="26"/>
        <v>0</v>
      </c>
    </row>
    <row r="65" spans="10:13">
      <c r="J65" s="113">
        <f t="shared" si="25"/>
        <v>0</v>
      </c>
      <c r="K65" s="113">
        <f t="shared" si="26"/>
        <v>0</v>
      </c>
      <c r="L65" s="113">
        <f t="shared" si="26"/>
        <v>0</v>
      </c>
      <c r="M65" s="113">
        <f t="shared" si="26"/>
        <v>0</v>
      </c>
    </row>
    <row r="66" spans="10:13">
      <c r="J66" s="113">
        <f t="shared" si="25"/>
        <v>0</v>
      </c>
      <c r="K66" s="113">
        <f t="shared" si="26"/>
        <v>0</v>
      </c>
      <c r="L66" s="113">
        <f t="shared" si="26"/>
        <v>0</v>
      </c>
      <c r="M66" s="113">
        <f t="shared" si="26"/>
        <v>0</v>
      </c>
    </row>
    <row r="67" spans="10:13">
      <c r="J67" s="113">
        <f t="shared" si="25"/>
        <v>0</v>
      </c>
      <c r="K67" s="113">
        <f t="shared" si="26"/>
        <v>0</v>
      </c>
      <c r="L67" s="113">
        <f t="shared" si="26"/>
        <v>0</v>
      </c>
      <c r="M67" s="113">
        <f t="shared" si="26"/>
        <v>0</v>
      </c>
    </row>
    <row r="68" spans="10:13">
      <c r="J68" s="113">
        <f t="shared" si="25"/>
        <v>0</v>
      </c>
      <c r="K68" s="113">
        <f t="shared" si="26"/>
        <v>0</v>
      </c>
      <c r="L68" s="113">
        <f t="shared" si="26"/>
        <v>0</v>
      </c>
      <c r="M68" s="113">
        <f t="shared" si="26"/>
        <v>0</v>
      </c>
    </row>
    <row r="69" spans="10:13">
      <c r="J69" s="113">
        <f t="shared" si="25"/>
        <v>0</v>
      </c>
      <c r="K69" s="113">
        <f t="shared" si="26"/>
        <v>0</v>
      </c>
      <c r="L69" s="113">
        <f t="shared" si="26"/>
        <v>0</v>
      </c>
      <c r="M69" s="113">
        <f t="shared" si="26"/>
        <v>0</v>
      </c>
    </row>
    <row r="70" spans="10:13">
      <c r="J70" s="113">
        <f t="shared" si="25"/>
        <v>0</v>
      </c>
      <c r="K70" s="113">
        <f t="shared" si="26"/>
        <v>0</v>
      </c>
      <c r="L70" s="113">
        <f t="shared" si="26"/>
        <v>0</v>
      </c>
      <c r="M70" s="113">
        <f t="shared" si="26"/>
        <v>0</v>
      </c>
    </row>
    <row r="71" spans="10:13">
      <c r="J71" s="113">
        <f t="shared" si="25"/>
        <v>0</v>
      </c>
      <c r="K71" s="113">
        <f t="shared" si="26"/>
        <v>0</v>
      </c>
      <c r="L71" s="113">
        <f t="shared" si="26"/>
        <v>0</v>
      </c>
      <c r="M71" s="113">
        <f t="shared" si="26"/>
        <v>0</v>
      </c>
    </row>
    <row r="72" spans="10:13">
      <c r="J72" s="113">
        <f t="shared" si="25"/>
        <v>0</v>
      </c>
      <c r="K72" s="113">
        <f>IF($E$50=$B$1,J23,IF($E$50=$D$1,M23,IF($E$50=$F$1,P23,IF($E$50=$H$1,S23,"Wrong data"))))</f>
        <v>0</v>
      </c>
      <c r="L72" s="113">
        <f>IF($E$50=$B$1,K23,IF($E$50=$D$1,N23,IF($E$50=$F$1,Q23,IF($E$50=$H$1,T23,"Wrong data"))))</f>
        <v>0</v>
      </c>
      <c r="M72" s="113">
        <f>IF($E$50=$B$1,L23,IF($E$50=$D$1,O23,IF($E$50=$F$1,R23,IF($E$50=$H$1,U23,"Wrong data"))))</f>
        <v>0</v>
      </c>
    </row>
  </sheetData>
  <sheetProtection sheet="1" objects="1" scenarios="1" selectLockedCells="1"/>
  <mergeCells count="8">
    <mergeCell ref="M1:O1"/>
    <mergeCell ref="P1:R1"/>
    <mergeCell ref="B50:D50"/>
    <mergeCell ref="B1:C1"/>
    <mergeCell ref="D1:E1"/>
    <mergeCell ref="F1:G1"/>
    <mergeCell ref="H1:I1"/>
    <mergeCell ref="J1:L1"/>
  </mergeCells>
  <conditionalFormatting sqref="B4">
    <cfRule type="cellIs" dxfId="79" priority="4" operator="notBetween">
      <formula>$W$4</formula>
      <formula>$X$4</formula>
    </cfRule>
  </conditionalFormatting>
  <conditionalFormatting sqref="B5">
    <cfRule type="cellIs" dxfId="78" priority="3" operator="notBetween">
      <formula>$W$5</formula>
      <formula>$X$5</formula>
    </cfRule>
  </conditionalFormatting>
  <conditionalFormatting sqref="B6">
    <cfRule type="cellIs" dxfId="77" priority="2" operator="notBetween">
      <formula>$W$6</formula>
      <formula>$X$6</formula>
    </cfRule>
  </conditionalFormatting>
  <conditionalFormatting sqref="B7:B23">
    <cfRule type="cellIs" dxfId="76" priority="1" operator="notBetween">
      <formula>$W$7</formula>
      <formula>$X$7</formula>
    </cfRule>
  </conditionalFormatting>
  <conditionalFormatting sqref="B3:I23">
    <cfRule type="cellIs" dxfId="75" priority="28" operator="equal">
      <formula>0</formula>
    </cfRule>
  </conditionalFormatting>
  <conditionalFormatting sqref="C4">
    <cfRule type="cellIs" dxfId="74" priority="25" stopIfTrue="1" operator="notBetween">
      <formula>$J$4</formula>
      <formula>$L$4</formula>
    </cfRule>
  </conditionalFormatting>
  <conditionalFormatting sqref="C5">
    <cfRule type="cellIs" dxfId="73" priority="24" operator="notBetween">
      <formula>$J$5</formula>
      <formula>$L$5</formula>
    </cfRule>
  </conditionalFormatting>
  <conditionalFormatting sqref="C6">
    <cfRule type="cellIs" dxfId="72" priority="23" operator="notBetween">
      <formula>$J$6</formula>
      <formula>$L$6</formula>
    </cfRule>
  </conditionalFormatting>
  <conditionalFormatting sqref="C7">
    <cfRule type="cellIs" dxfId="71" priority="22" operator="notBetween">
      <formula>$J$7</formula>
      <formula>$L$7</formula>
    </cfRule>
  </conditionalFormatting>
  <conditionalFormatting sqref="C8">
    <cfRule type="cellIs" dxfId="70" priority="21" operator="notBetween">
      <formula>$J$8</formula>
      <formula>$L$8</formula>
    </cfRule>
  </conditionalFormatting>
  <conditionalFormatting sqref="C9">
    <cfRule type="cellIs" dxfId="69" priority="20" operator="notBetween">
      <formula>$J$9</formula>
      <formula>$L$9</formula>
    </cfRule>
  </conditionalFormatting>
  <conditionalFormatting sqref="C10">
    <cfRule type="cellIs" dxfId="68" priority="19" operator="notBetween">
      <formula>$J$10</formula>
      <formula>$L$10</formula>
    </cfRule>
  </conditionalFormatting>
  <conditionalFormatting sqref="C11">
    <cfRule type="cellIs" dxfId="67" priority="18" operator="notBetween">
      <formula>$J$11</formula>
      <formula>$L$11</formula>
    </cfRule>
  </conditionalFormatting>
  <conditionalFormatting sqref="C12">
    <cfRule type="cellIs" dxfId="66" priority="17" operator="notBetween">
      <formula>$J$12</formula>
      <formula>$L$12</formula>
    </cfRule>
  </conditionalFormatting>
  <conditionalFormatting sqref="C13">
    <cfRule type="cellIs" dxfId="65" priority="16" operator="notBetween">
      <formula>$J$13</formula>
      <formula>$L$13</formula>
    </cfRule>
  </conditionalFormatting>
  <conditionalFormatting sqref="C14">
    <cfRule type="cellIs" dxfId="64" priority="15" operator="notBetween">
      <formula>$J$14</formula>
      <formula>$L$14</formula>
    </cfRule>
  </conditionalFormatting>
  <conditionalFormatting sqref="C15">
    <cfRule type="cellIs" dxfId="63" priority="14" operator="notBetween">
      <formula>$J$15</formula>
      <formula>$L$15</formula>
    </cfRule>
  </conditionalFormatting>
  <conditionalFormatting sqref="C16">
    <cfRule type="cellIs" dxfId="62" priority="13" operator="notBetween">
      <formula>$J$16</formula>
      <formula>$L$16</formula>
    </cfRule>
  </conditionalFormatting>
  <conditionalFormatting sqref="C17">
    <cfRule type="cellIs" dxfId="61" priority="12" operator="notBetween">
      <formula>$J$17</formula>
      <formula>$L$17</formula>
    </cfRule>
  </conditionalFormatting>
  <conditionalFormatting sqref="C18">
    <cfRule type="cellIs" dxfId="60" priority="11" operator="notBetween">
      <formula>$J$18</formula>
      <formula>$L$18</formula>
    </cfRule>
  </conditionalFormatting>
  <conditionalFormatting sqref="C19">
    <cfRule type="cellIs" dxfId="59" priority="10" operator="notBetween">
      <formula>$J$19</formula>
      <formula>$L$19</formula>
    </cfRule>
  </conditionalFormatting>
  <conditionalFormatting sqref="C20">
    <cfRule type="cellIs" dxfId="58" priority="9" operator="notBetween">
      <formula>$J$20</formula>
      <formula>$L$20</formula>
    </cfRule>
  </conditionalFormatting>
  <conditionalFormatting sqref="C21">
    <cfRule type="cellIs" dxfId="57" priority="8" operator="notBetween">
      <formula>$J$21</formula>
      <formula>$L$21</formula>
    </cfRule>
  </conditionalFormatting>
  <conditionalFormatting sqref="C22">
    <cfRule type="cellIs" dxfId="56" priority="7" operator="notBetween">
      <formula>$J$22</formula>
      <formula>$L$22</formula>
    </cfRule>
  </conditionalFormatting>
  <conditionalFormatting sqref="C23">
    <cfRule type="cellIs" dxfId="55" priority="5" operator="notEqual">
      <formula>$K$23</formula>
    </cfRule>
  </conditionalFormatting>
  <dataValidations count="1">
    <dataValidation type="list" allowBlank="1" showInputMessage="1" showErrorMessage="1" sqref="E50" xr:uid="{00000000-0002-0000-0100-000000000000}">
      <formula1>$F$49:$F$52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89"/>
  <sheetViews>
    <sheetView zoomScaleNormal="100" workbookViewId="0">
      <selection activeCell="C7" sqref="C7"/>
    </sheetView>
  </sheetViews>
  <sheetFormatPr defaultColWidth="10.796875" defaultRowHeight="15.6"/>
  <cols>
    <col min="1" max="1" width="5.796875" style="1" customWidth="1"/>
    <col min="2" max="6" width="10.796875" style="1" customWidth="1"/>
    <col min="7" max="7" width="5.796875" style="1" customWidth="1"/>
    <col min="8" max="12" width="10.796875" style="1" customWidth="1"/>
    <col min="13" max="14" width="36.69921875" style="1" customWidth="1"/>
    <col min="15" max="16" width="10.796875" style="2" customWidth="1"/>
    <col min="17" max="17" width="12.5" style="3" customWidth="1"/>
    <col min="18" max="18" width="10.796875" style="3"/>
    <col min="19" max="20" width="10.796875" style="1"/>
    <col min="21" max="23" width="10.796875" style="3"/>
    <col min="24" max="25" width="10.796875" style="1"/>
    <col min="26" max="27" width="10.796875" style="3"/>
    <col min="28" max="16384" width="10.796875" style="1"/>
  </cols>
  <sheetData>
    <row r="1" spans="1:27" ht="21">
      <c r="A1" s="195">
        <v>1</v>
      </c>
      <c r="B1" s="4" t="s">
        <v>75</v>
      </c>
      <c r="C1" s="205">
        <v>123</v>
      </c>
      <c r="D1" s="205"/>
      <c r="E1" s="205"/>
      <c r="F1" s="206"/>
      <c r="G1" s="195">
        <v>11</v>
      </c>
      <c r="H1" s="4" t="s">
        <v>75</v>
      </c>
      <c r="I1" s="205"/>
      <c r="J1" s="205"/>
      <c r="K1" s="205"/>
      <c r="L1" s="206"/>
      <c r="M1" s="3"/>
      <c r="N1" s="3"/>
      <c r="O1" s="39"/>
      <c r="P1" s="39"/>
    </row>
    <row r="2" spans="1:27" ht="21" customHeight="1">
      <c r="A2" s="196"/>
      <c r="B2" s="198" t="s">
        <v>76</v>
      </c>
      <c r="C2" s="201" t="str">
        <f>IF(Statistics!$R$2,Statistics!$Q$2,"Use '5/13 points' sheet !")</f>
        <v>UHD 9 @ 1/9</v>
      </c>
      <c r="D2" s="202"/>
      <c r="E2" s="203"/>
      <c r="F2" s="6"/>
      <c r="G2" s="196"/>
      <c r="H2" s="198" t="s">
        <v>76</v>
      </c>
      <c r="I2" s="201" t="str">
        <f>IF(Statistics!$R$2,Statistics!$Q$2,"Use '5/13 points' sheet !")</f>
        <v>UHD 9 @ 1/9</v>
      </c>
      <c r="J2" s="202"/>
      <c r="K2" s="203"/>
      <c r="L2" s="6"/>
      <c r="M2" s="194" t="str">
        <f>IF(Statistics!$R$2,CONCATENATE(IF(O2="","要测试九个点和白墙亮度; ",IF(O2,,"工厂模式白屏亮度不够, 再一次确认下; ")),IF(O3="","要测试白黑屏亮度; ",IF(O3,,"工厂模式黑屏亮度太大, 再一次确认下; ")),IF(O4="","要测试九个点亮度; ",IF(O4,,"9个白点之间的亮度差异太高, 再一次确认下; ")),IF(O5="","要测试四个颜色; ",IF(O5,,"3个红绿蓝颜色不太对的, 再一次确认下")),IF(F3&gt;C7,"告诉Vova和工厂业务电视软件有大问题: 客人模式亮度不应该比工厂模式亮度还高","")),"不可以用这一页, 需要打开下一页‘5_13 points’!")</f>
        <v/>
      </c>
      <c r="N2" s="194" t="str">
        <f>IF(Statistics!$R$2,CONCATENATE(IF(P2="","要测试九个点和白墙亮度; ",IF(P2,,"工厂模式白屏亮度不够, 再一次确认下; ")),IF(P3="","要测试白黑屏亮度; ",IF(P3,,"工厂模式黑屏亮度太大, 再一次确认下; ")),IF(P4="","要测试九个点亮度; ",IF(P4,,"9个白点之间的亮度差异太高, 再一次确认下; ")),IF(P5="","要测试四个颜色; ",IF(P5,,"3个红绿蓝颜色不太对的, 再一次确认下")),IF(G3&gt;D7,"告诉Vova和工厂业务电视软件有大问题: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2" s="39" t="b">
        <f>IF(C7&lt;1,"",IF(F6&lt;Statistics!$G$2*(1-Statistics!$Q$1),FALSE,TRUE))</f>
        <v>1</v>
      </c>
      <c r="P2" s="39" t="str">
        <f>IF(I7&lt;1,"",IF(L6&lt;Statistics!$G$2*(1-Statistics!$Q$1),FALSE,TRUE))</f>
        <v/>
      </c>
      <c r="Q2" s="40"/>
      <c r="R2" s="41" t="s">
        <v>1</v>
      </c>
      <c r="S2" s="41" t="s">
        <v>2</v>
      </c>
      <c r="T2" s="42" t="s">
        <v>3</v>
      </c>
      <c r="U2" s="40" t="s">
        <v>77</v>
      </c>
      <c r="V2" s="41" t="s">
        <v>78</v>
      </c>
      <c r="W2" s="42" t="s">
        <v>79</v>
      </c>
      <c r="Z2" s="61" t="s">
        <v>80</v>
      </c>
      <c r="AA2" s="63" t="s">
        <v>75</v>
      </c>
    </row>
    <row r="3" spans="1:27" ht="21">
      <c r="A3" s="196"/>
      <c r="B3" s="199"/>
      <c r="C3" s="17">
        <v>218.7</v>
      </c>
      <c r="D3" s="17">
        <v>264.3</v>
      </c>
      <c r="E3" s="17">
        <v>216.5</v>
      </c>
      <c r="F3" s="74">
        <f>MAX(C3:E5)</f>
        <v>309.2</v>
      </c>
      <c r="G3" s="196"/>
      <c r="H3" s="199"/>
      <c r="I3" s="17"/>
      <c r="J3" s="17"/>
      <c r="K3" s="17"/>
      <c r="L3" s="74">
        <f>MAX(I3:K5)</f>
        <v>0</v>
      </c>
      <c r="M3" s="194"/>
      <c r="N3" s="194"/>
      <c r="O3" s="39" t="b">
        <f>IF(D7=0,"",IF(F7&lt;Statistics!$G$5*(1-Statistics!$Q$1),FALSE,TRUE))</f>
        <v>1</v>
      </c>
      <c r="P3" s="39" t="str">
        <f>IF(J7=0,"",IF(L7&lt;Statistics!$G$5*(1-Statistics!$Q$1),FALSE,TRUE))</f>
        <v/>
      </c>
      <c r="Q3" s="43" t="s">
        <v>10</v>
      </c>
      <c r="R3" s="44" cm="1">
        <f t="array" ref="R3">MIN(IF(X3:Y12&gt;0,X3:Y12,""))</f>
        <v>320</v>
      </c>
      <c r="S3" s="44">
        <f>IFERROR(AVERAGEIF(X3:Y12,"&gt;0"),0)</f>
        <v>320</v>
      </c>
      <c r="T3" s="45">
        <f>MAX(X3:Y12)</f>
        <v>320</v>
      </c>
      <c r="U3" s="64">
        <f>IF(F5=0,"",F5)</f>
        <v>0.70019404915912031</v>
      </c>
      <c r="V3" s="50">
        <f>IF(F7=0,"",F7)</f>
        <v>4433.8739657469378</v>
      </c>
      <c r="W3" s="66">
        <f>IF(F8=0,"",F8)</f>
        <v>0.71718504555450835</v>
      </c>
      <c r="X3" s="67">
        <f>F6</f>
        <v>320</v>
      </c>
      <c r="Y3" s="67">
        <f>L6</f>
        <v>0</v>
      </c>
      <c r="Z3" s="68" cm="1">
        <f t="array" ref="Z3" ca="1">INDIRECT("D"&amp;6+9*(ROW()-3))</f>
        <v>10292</v>
      </c>
      <c r="AA3" s="68" cm="1">
        <f t="array" ref="AA3" ca="1">INDIRECT("C"&amp;1+9*(ROW()-3))</f>
        <v>123</v>
      </c>
    </row>
    <row r="4" spans="1:27" ht="21">
      <c r="A4" s="196"/>
      <c r="B4" s="199"/>
      <c r="C4" s="17">
        <v>241.8</v>
      </c>
      <c r="D4" s="17">
        <v>309.2</v>
      </c>
      <c r="E4" s="17">
        <v>240.5</v>
      </c>
      <c r="F4" s="74">
        <f>MIN(C3:E5)</f>
        <v>216.5</v>
      </c>
      <c r="G4" s="196"/>
      <c r="H4" s="199"/>
      <c r="I4" s="17"/>
      <c r="J4" s="17"/>
      <c r="K4" s="17"/>
      <c r="L4" s="74">
        <f>MIN(I3:K5)</f>
        <v>0</v>
      </c>
      <c r="M4" s="194"/>
      <c r="N4" s="194"/>
      <c r="O4" s="39" t="b">
        <f>IF(D4=0,"",IF(F5&lt;Statistics!$G$3*(1-Statistics!$Q$1),FALSE,TRUE))</f>
        <v>1</v>
      </c>
      <c r="P4" s="39" t="str">
        <f>IF(J4=0,"",IF(L5&lt;Statistics!$G$3*(1-Statistics!$Q$1),FALSE,TRUE))</f>
        <v/>
      </c>
      <c r="Q4" s="49" t="s">
        <v>11</v>
      </c>
      <c r="R4" s="47" cm="1">
        <f t="array" ref="R4">IF(MIN(IF(U3:U22&gt;0,U3:U22,""))=0,S4,MIN(IF(U3:U22&gt;0,U3:U22,"")))</f>
        <v>0.70019404915912031</v>
      </c>
      <c r="S4" s="47">
        <f>IFERROR(AVERAGEIF(U3:U22,"&gt;0"),0)</f>
        <v>0.70019404915912031</v>
      </c>
      <c r="T4" s="48">
        <f>MAX(U3:U22)</f>
        <v>0.70019404915912031</v>
      </c>
      <c r="U4" s="64" t="str">
        <f>IF(F14=0,"",F14)</f>
        <v/>
      </c>
      <c r="V4" s="50" t="str">
        <f>IF(F16=0,"",F16)</f>
        <v/>
      </c>
      <c r="W4" s="66" t="str">
        <f>IF(F17=0,"",F17)</f>
        <v/>
      </c>
      <c r="X4" s="67">
        <f>F15</f>
        <v>0</v>
      </c>
      <c r="Y4" s="67">
        <f>L15</f>
        <v>0</v>
      </c>
      <c r="Z4" s="3" cm="1">
        <f t="array" ref="Z4" ca="1">INDIRECT("D"&amp;6+9*(ROW()-3))</f>
        <v>0</v>
      </c>
      <c r="AA4" s="68" cm="1">
        <f t="array" ref="AA4" ca="1">INDIRECT("C"&amp;1+9*(ROW()-3))</f>
        <v>0</v>
      </c>
    </row>
    <row r="5" spans="1:27" ht="21">
      <c r="A5" s="196"/>
      <c r="B5" s="199"/>
      <c r="C5" s="17">
        <v>216.8</v>
      </c>
      <c r="D5" s="17">
        <v>265.60000000000002</v>
      </c>
      <c r="E5" s="17">
        <v>220.3</v>
      </c>
      <c r="F5" s="33">
        <f>IFERROR(F4/F3,"")</f>
        <v>0.70019404915912031</v>
      </c>
      <c r="G5" s="196"/>
      <c r="H5" s="199"/>
      <c r="I5" s="17"/>
      <c r="J5" s="17"/>
      <c r="K5" s="17"/>
      <c r="L5" s="33" t="str">
        <f>IFERROR(L4/L3,"")</f>
        <v/>
      </c>
      <c r="M5" s="194"/>
      <c r="N5" s="194"/>
      <c r="O5" s="39" t="b">
        <f>IF(C8&lt;0.1,"",IF(F8&lt;Statistics!$G$7*(1-2*Statistics!$Q$1),FALSE,TRUE))</f>
        <v>1</v>
      </c>
      <c r="P5" s="39" t="str">
        <f>IF(I8&lt;0.1,"",IF(L8&lt;Statistics!$G$7*(1-2*Statistics!$Q$1),FALSE,TRUE))</f>
        <v/>
      </c>
      <c r="Q5" s="49" t="s">
        <v>17</v>
      </c>
      <c r="R5" s="50" cm="1">
        <f t="array" ref="R5">IF(MIN(IF(V3:V22&gt;0,V3:V22,""))=0,S4,MIN(IF(V3:V22&gt;0,V3:V22,"")))</f>
        <v>4433.8739657469378</v>
      </c>
      <c r="S5" s="50">
        <f>IFERROR(AVERAGEIF(V3:V22,"&gt;0"),0)</f>
        <v>4433.8739657469378</v>
      </c>
      <c r="T5" s="51">
        <f>MAX(V3:V22)</f>
        <v>4433.8739657469378</v>
      </c>
      <c r="U5" s="64" t="str">
        <f>IF(F23=0,"",F23)</f>
        <v/>
      </c>
      <c r="V5" s="50" t="str">
        <f>IF(F25=0,"",F25)</f>
        <v/>
      </c>
      <c r="W5" s="66" t="str">
        <f>IF(F26=0,"",F26)</f>
        <v/>
      </c>
      <c r="X5" s="67">
        <f>F24</f>
        <v>0</v>
      </c>
      <c r="Y5" s="67">
        <f>L24</f>
        <v>0</v>
      </c>
      <c r="Z5" s="3" cm="1">
        <f t="array" ref="Z5" ca="1">INDIRECT("D"&amp;6+9*(ROW()-3))</f>
        <v>0</v>
      </c>
      <c r="AA5" s="68" cm="1">
        <f t="array" ref="AA5" ca="1">INDIRECT("C"&amp;1+9*(ROW()-3))</f>
        <v>0</v>
      </c>
    </row>
    <row r="6" spans="1:27" ht="21">
      <c r="A6" s="196"/>
      <c r="B6" s="200"/>
      <c r="C6" s="75" t="s">
        <v>81</v>
      </c>
      <c r="D6" s="204">
        <v>10292</v>
      </c>
      <c r="E6" s="204"/>
      <c r="F6" s="28">
        <f>MAX(C3:E5,C7)</f>
        <v>320</v>
      </c>
      <c r="G6" s="196"/>
      <c r="H6" s="200"/>
      <c r="I6" s="75" t="s">
        <v>81</v>
      </c>
      <c r="J6" s="204"/>
      <c r="K6" s="204"/>
      <c r="L6" s="28">
        <f>MAX(I3:K5,I7)</f>
        <v>0</v>
      </c>
      <c r="M6" s="194"/>
      <c r="N6" s="194"/>
      <c r="O6" s="39"/>
      <c r="P6" s="39"/>
      <c r="Q6" s="49" t="s">
        <v>82</v>
      </c>
      <c r="R6" s="47" cm="1">
        <f t="array" ref="R6">IF(MIN(IF(W3:W22&gt;0,W3:W22,""))=0,S4,MIN(IF(W3:W22&gt;0,W3:W22,"")))</f>
        <v>0.71718504555450835</v>
      </c>
      <c r="S6" s="47">
        <f>IFERROR(AVERAGEIF(W3:W22,"&gt;0"),0)</f>
        <v>0.71718504555450835</v>
      </c>
      <c r="T6" s="48">
        <f>MAX(W3:W22)</f>
        <v>0.71718504555450835</v>
      </c>
      <c r="U6" s="64" t="str">
        <f>IF(F32=0,"",F32)</f>
        <v/>
      </c>
      <c r="V6" s="50" t="str">
        <f>IF(F34=0,"",F34)</f>
        <v/>
      </c>
      <c r="W6" s="66" t="str">
        <f>IF(F35=0,"",F35)</f>
        <v/>
      </c>
      <c r="X6" s="67">
        <f>F33</f>
        <v>0</v>
      </c>
      <c r="Y6" s="67">
        <f>L33</f>
        <v>0</v>
      </c>
      <c r="Z6" s="3" cm="1">
        <f t="array" ref="Z6" ca="1">INDIRECT("D"&amp;6+9*(ROW()-3))</f>
        <v>0</v>
      </c>
      <c r="AA6" s="68" cm="1">
        <f t="array" ref="AA6" ca="1">INDIRECT("C"&amp;1+9*(ROW()-3))</f>
        <v>0</v>
      </c>
    </row>
    <row r="7" spans="1:27" ht="21">
      <c r="A7" s="196"/>
      <c r="B7" s="76" t="s">
        <v>83</v>
      </c>
      <c r="C7" s="77">
        <v>320</v>
      </c>
      <c r="D7" s="78">
        <v>7.2171650000000004E-2</v>
      </c>
      <c r="E7" s="79"/>
      <c r="F7" s="28">
        <f>IFERROR(C7/D7,"")</f>
        <v>4433.8739657469378</v>
      </c>
      <c r="G7" s="196"/>
      <c r="H7" s="76" t="s">
        <v>83</v>
      </c>
      <c r="I7" s="77"/>
      <c r="J7" s="78"/>
      <c r="K7" s="79"/>
      <c r="L7" s="28" t="str">
        <f>IFERROR(I7/J7,"")</f>
        <v/>
      </c>
      <c r="M7" s="194"/>
      <c r="N7" s="194"/>
      <c r="O7" s="39"/>
      <c r="P7" s="39"/>
      <c r="Q7" s="49" t="s">
        <v>21</v>
      </c>
      <c r="R7" s="52"/>
      <c r="S7" s="3"/>
      <c r="T7" s="53"/>
      <c r="U7" s="64" t="str">
        <f>IF(F41=0,"",F41)</f>
        <v/>
      </c>
      <c r="V7" s="50" t="str">
        <f>IF(F43=0,"",F43)</f>
        <v/>
      </c>
      <c r="W7" s="66" t="str">
        <f>IF(F44=0,"",F44)</f>
        <v/>
      </c>
      <c r="X7" s="67">
        <f>F42</f>
        <v>0</v>
      </c>
      <c r="Y7" s="67">
        <f>L42</f>
        <v>0</v>
      </c>
      <c r="Z7" s="3" cm="1">
        <f t="array" ref="Z7" ca="1">INDIRECT("D"&amp;6+9*(ROW()-3))</f>
        <v>0</v>
      </c>
      <c r="AA7" s="68" cm="1">
        <f t="array" ref="AA7" ca="1">INDIRECT("C"&amp;1+9*(ROW()-3))</f>
        <v>0</v>
      </c>
    </row>
    <row r="8" spans="1:27" ht="21">
      <c r="A8" s="196"/>
      <c r="B8" s="80">
        <v>0.28199999999999997</v>
      </c>
      <c r="C8" s="30">
        <v>0.63600000000000001</v>
      </c>
      <c r="D8" s="31">
        <v>0.311</v>
      </c>
      <c r="E8" s="32">
        <v>0.156</v>
      </c>
      <c r="F8" s="33">
        <f>0.5*ABS(C8*D9-C9*D8+D8*E9-D9*E8+E8*C9-E9*C8)/F9</f>
        <v>0.71718504555450835</v>
      </c>
      <c r="G8" s="196"/>
      <c r="H8" s="80"/>
      <c r="I8" s="30"/>
      <c r="J8" s="31"/>
      <c r="K8" s="32"/>
      <c r="L8" s="33">
        <f>0.5*ABS(I8*J9-I9*J8+J8*K9-J9*K8+K8*I9-K9*I8)/L9</f>
        <v>0</v>
      </c>
      <c r="M8" s="194"/>
      <c r="N8" s="194"/>
      <c r="O8" s="39"/>
      <c r="P8" s="39"/>
      <c r="Q8" s="49" t="s">
        <v>84</v>
      </c>
      <c r="R8" s="54">
        <f>MIN(D6,D15,D24,D33,D42,D51,D60,D69,D78,D87,J6,J15,J24,J33,J42,J51,J60,J69,J78,J87)</f>
        <v>10292</v>
      </c>
      <c r="S8" s="54">
        <f>IFERROR(AVERAGE(D6,D15,D24,D33,D42,D51,D60,D69,D78,D87,J6,J15,J24,J33,J42,J51,J60,J69,J78,J87),0)</f>
        <v>10292</v>
      </c>
      <c r="T8" s="55">
        <f>MAX(D6,D15,D24,D33,D42,D51,D60,D69,D78,D87,J6,J15,J24,J33,J42,J51,J60,J69,J78,J87)</f>
        <v>10292</v>
      </c>
      <c r="U8" s="64" t="str">
        <f>IF(F50=0,"",F50)</f>
        <v/>
      </c>
      <c r="V8" s="50" t="str">
        <f>IF(F52=0,"",F52)</f>
        <v/>
      </c>
      <c r="W8" s="66" t="str">
        <f>IF(F53=0,"",F53)</f>
        <v/>
      </c>
      <c r="X8" s="67">
        <f>F51</f>
        <v>0</v>
      </c>
      <c r="Y8" s="67">
        <f>L51</f>
        <v>0</v>
      </c>
      <c r="Z8" s="3" cm="1">
        <f t="array" ref="Z8" ca="1">INDIRECT("D"&amp;6+9*(ROW()-3))</f>
        <v>0</v>
      </c>
      <c r="AA8" s="68" cm="1">
        <f t="array" ref="AA8" ca="1">INDIRECT("C"&amp;1+9*(ROW()-3))</f>
        <v>0</v>
      </c>
    </row>
    <row r="9" spans="1:27" ht="21">
      <c r="A9" s="197"/>
      <c r="B9" s="81">
        <v>0.29299999999999998</v>
      </c>
      <c r="C9" s="35">
        <v>0.32900000000000001</v>
      </c>
      <c r="D9" s="36">
        <v>0.61499999999999999</v>
      </c>
      <c r="E9" s="37">
        <v>4.9000000000000002E-2</v>
      </c>
      <c r="F9" s="38">
        <f>0.5*ABS(0.674*0.712-0.218*0.326+0.218*0.08-0.14*0.712+0.14*0.326-0.674*0.08)</f>
        <v>0.15915000000000001</v>
      </c>
      <c r="G9" s="197"/>
      <c r="H9" s="81"/>
      <c r="I9" s="35"/>
      <c r="J9" s="36"/>
      <c r="K9" s="37"/>
      <c r="L9" s="38">
        <f>0.5*ABS(0.674*0.712-0.218*0.326+0.218*0.08-0.14*0.712+0.14*0.326-0.674*0.08)</f>
        <v>0.15915000000000001</v>
      </c>
      <c r="M9" s="194"/>
      <c r="N9" s="194"/>
      <c r="O9" s="39"/>
      <c r="P9" s="39"/>
      <c r="Q9" s="49" t="s">
        <v>38</v>
      </c>
      <c r="R9" s="56">
        <f>MIN(B8,B17,B26,B35,B44,B53,B62,B71,B80,B89,H8,H17,H26,H35,H44,H53,H62,H71,H80,H89)</f>
        <v>0.28199999999999997</v>
      </c>
      <c r="S9" s="56">
        <f>IFERROR(AVERAGE(B8,B17,B26,B35,B44,B53,B62,B71,B80,B89,H8,H17,H26,H35,H44,H53,H62,H71,H80,H89),0)</f>
        <v>0.28199999999999997</v>
      </c>
      <c r="T9" s="57">
        <f>MAX(B8,B17,B26,B35,B44,B53,B62,B71,B80,B89,H8,H17,H26,H35,H44,H53,H62,H71,H80,H89)</f>
        <v>0.28199999999999997</v>
      </c>
      <c r="U9" s="64" t="str">
        <f>IF(F59=0,"",F59)</f>
        <v/>
      </c>
      <c r="V9" s="50" t="str">
        <f>IF(F61=0,"",F61)</f>
        <v/>
      </c>
      <c r="W9" s="66" t="str">
        <f>IF(F62=0,"",F62)</f>
        <v/>
      </c>
      <c r="X9" s="67">
        <f>F60</f>
        <v>0</v>
      </c>
      <c r="Y9" s="67">
        <f>L60</f>
        <v>0</v>
      </c>
      <c r="Z9" s="3" cm="1">
        <f t="array" ref="Z9" ca="1">INDIRECT("D"&amp;6+9*(ROW()-3))</f>
        <v>0</v>
      </c>
      <c r="AA9" s="68" cm="1">
        <f t="array" ref="AA9" ca="1">INDIRECT("C"&amp;1+9*(ROW()-3))</f>
        <v>0</v>
      </c>
    </row>
    <row r="10" spans="1:27" ht="21">
      <c r="A10" s="195">
        <f>A1+1</f>
        <v>2</v>
      </c>
      <c r="B10" s="4" t="s">
        <v>75</v>
      </c>
      <c r="C10" s="205"/>
      <c r="D10" s="205"/>
      <c r="E10" s="205"/>
      <c r="F10" s="206"/>
      <c r="G10" s="195">
        <f>G1+1</f>
        <v>12</v>
      </c>
      <c r="H10" s="4" t="s">
        <v>75</v>
      </c>
      <c r="I10" s="205"/>
      <c r="J10" s="205"/>
      <c r="K10" s="205"/>
      <c r="L10" s="206"/>
      <c r="M10" s="3"/>
      <c r="N10" s="3"/>
      <c r="O10" s="39"/>
      <c r="P10" s="39"/>
      <c r="Q10" s="49" t="s">
        <v>40</v>
      </c>
      <c r="R10" s="56">
        <f>MIN(B9,B18,B27,B36,B45,B54,B63,B72,B81,B90,H9,H18,H27,H36,H45,H54,H63,H72,H81,H90)</f>
        <v>0.29299999999999998</v>
      </c>
      <c r="S10" s="56">
        <f>IFERROR(AVERAGE(B9,B18,B27,B36,B45,B54,B63,B72,B81,B90,H9,H18,H27,H36,H45,H54,H63,H72,H81,H90),0)</f>
        <v>0.29299999999999998</v>
      </c>
      <c r="T10" s="57">
        <f>MAX(B9,B18,B27,B36,B45,B54,B63,B72,B81,B90,H9,H18,H27,H36,H45,H54,H63,H72,H81,H90)</f>
        <v>0.29299999999999998</v>
      </c>
      <c r="U10" s="64" t="str">
        <f>IF(F68=0,"",F68)</f>
        <v/>
      </c>
      <c r="V10" s="50" t="str">
        <f>IF(F70=0,"",F70)</f>
        <v/>
      </c>
      <c r="W10" s="66" t="str">
        <f>IF(F71=0,"",F71)</f>
        <v/>
      </c>
      <c r="X10" s="67">
        <f>F69</f>
        <v>0</v>
      </c>
      <c r="Y10" s="67">
        <f>L69</f>
        <v>0</v>
      </c>
      <c r="Z10" s="3" cm="1">
        <f t="array" ref="Z10" ca="1">INDIRECT("D"&amp;6+9*(ROW()-3))</f>
        <v>0</v>
      </c>
      <c r="AA10" s="68" cm="1">
        <f t="array" ref="AA10" ca="1">INDIRECT("C"&amp;1+9*(ROW()-3))</f>
        <v>0</v>
      </c>
    </row>
    <row r="11" spans="1:27" ht="21" customHeight="1">
      <c r="A11" s="196"/>
      <c r="B11" s="198" t="s">
        <v>76</v>
      </c>
      <c r="C11" s="201" t="str">
        <f>IF(Statistics!$R$2,Statistics!$Q$2,"Use '5/13 points' sheet !")</f>
        <v>UHD 9 @ 1/9</v>
      </c>
      <c r="D11" s="202"/>
      <c r="E11" s="203"/>
      <c r="F11" s="6"/>
      <c r="G11" s="196"/>
      <c r="H11" s="198" t="s">
        <v>76</v>
      </c>
      <c r="I11" s="201" t="str">
        <f>IF(Statistics!$R$2,Statistics!$Q$2,"Use '5/13 points' sheet !")</f>
        <v>UHD 9 @ 1/9</v>
      </c>
      <c r="J11" s="202"/>
      <c r="K11" s="203"/>
      <c r="L11" s="6"/>
      <c r="M11" s="194" t="str">
        <f>IF(Statistics!$R$2,CONCATENATE(IF(O11="","要测试九个点和白墙亮度; ",IF(O11,,"工厂模式白屏亮度不够, 再一次确认下; ")),IF(O12="","要测试白黑屏亮度; ",IF(O12,,"工厂模式黑屏亮度太大, 再一次确认下; ")),IF(O13="","要测试九个点亮度; ",IF(O13,,"9个白点之间的亮度差异太高, 再一次确认下; ")),IF(O14="","要测试四个颜色; ",IF(O14,,"3个红绿蓝颜色不太对的, 再一次确认下")),IF(F12&gt;C16,"告诉Vova和工厂业务电视软件有大问题: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11" s="194" t="str">
        <f>IF(Statistics!$R$2,CONCATENATE(IF(P11="","要测试九个点和白墙亮度; ",IF(P11,,"工厂模式白屏亮度不够, 再一次确认下; ")),IF(P12="","要测试白黑屏亮度; ",IF(P12,,"工厂模式黑屏亮度太大, 再一次确认下; ")),IF(P13="","要测试九个点亮度; ",IF(P13,,"9个白点之间的亮度差异太高, 再一次确认下; ")),IF(P14="","要测试四个颜色; ",IF(P14,,"3个红绿蓝颜色不太对的, 再一次确认下")),IF(G12&gt;D16,"告诉Vova和工厂业务电视软件有大问题: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11" s="39" t="str">
        <f>IF(C16&lt;1,"",IF(F15&lt;Statistics!$G$2*(1-Statistics!$Q$1),FALSE,TRUE))</f>
        <v/>
      </c>
      <c r="P11" s="39" t="str">
        <f>IF(I16&lt;1,"",IF(L15&lt;Statistics!$G$2*(1-Statistics!$Q$1),FALSE,TRUE))</f>
        <v/>
      </c>
      <c r="Q11" s="49" t="s">
        <v>27</v>
      </c>
      <c r="R11" s="56">
        <f>MIN(C8,C17,C26,C35,C44,C53,C62,C71,C80,C89,I8,I17,I26,I35,I44,I53,I62,I71,I80,I89)</f>
        <v>0.63600000000000001</v>
      </c>
      <c r="S11" s="56">
        <f>IFERROR(AVERAGE(C8,C17,C26,C35,C44,C53,C62,C71,C80,C89,I8,I17,I26,I35,I44,I53,I62,I71,I80,I89),0)</f>
        <v>0.63600000000000001</v>
      </c>
      <c r="T11" s="57">
        <f>MAX(C8,C17,C26,C35,C44,C53,C62,C71,C80,C89,I8,I17,I26,I35,I44,I53,I62,I71,I80,I89)</f>
        <v>0.63600000000000001</v>
      </c>
      <c r="U11" s="64" t="str">
        <f>IF(F77=0,"",F77)</f>
        <v/>
      </c>
      <c r="V11" s="50" t="str">
        <f>IF(F79=0,"",F79)</f>
        <v/>
      </c>
      <c r="W11" s="66" t="str">
        <f>IF(F80=0,"",F80)</f>
        <v/>
      </c>
      <c r="X11" s="67">
        <f>F78</f>
        <v>0</v>
      </c>
      <c r="Y11" s="67">
        <f>L78</f>
        <v>0</v>
      </c>
      <c r="Z11" s="3" cm="1">
        <f t="array" ref="Z11" ca="1">INDIRECT("D"&amp;6+9*(ROW()-3))</f>
        <v>0</v>
      </c>
      <c r="AA11" s="68" cm="1">
        <f t="array" ref="AA11" ca="1">INDIRECT("C"&amp;1+9*(ROW()-3))</f>
        <v>0</v>
      </c>
    </row>
    <row r="12" spans="1:27" ht="21">
      <c r="A12" s="196"/>
      <c r="B12" s="199"/>
      <c r="C12" s="17"/>
      <c r="D12" s="17"/>
      <c r="E12" s="17"/>
      <c r="F12" s="74">
        <f>MAX(C12:E14)</f>
        <v>0</v>
      </c>
      <c r="G12" s="196"/>
      <c r="H12" s="199"/>
      <c r="I12" s="17"/>
      <c r="J12" s="17"/>
      <c r="K12" s="17"/>
      <c r="L12" s="74">
        <f>MAX(I12:K14)</f>
        <v>0</v>
      </c>
      <c r="M12" s="194"/>
      <c r="N12" s="194"/>
      <c r="O12" s="39" t="str">
        <f>IF(D16=0,"",IF(F16&lt;Statistics!$G$5*(1-Statistics!$Q$1),FALSE,TRUE))</f>
        <v/>
      </c>
      <c r="P12" s="39" t="str">
        <f>IF(J16=0,"",IF(L16&lt;Statistics!$G$5*(1-Statistics!$Q$1),FALSE,TRUE))</f>
        <v/>
      </c>
      <c r="Q12" s="49" t="s">
        <v>29</v>
      </c>
      <c r="R12" s="56">
        <f>MIN(C9,C18,C27,C36,C45,C54,C63,C72,C81,C90,I9,I18,I27,I36,I45,I54,I63,I72,I81,I90)</f>
        <v>0.32900000000000001</v>
      </c>
      <c r="S12" s="56">
        <f>IFERROR(AVERAGE(C9,C18,C27,C36,C45,C54,C63,C72,C81,C90,I9,I18,I27,I36,I45,I54,I63,I72,I81,I90),0)</f>
        <v>0.32900000000000001</v>
      </c>
      <c r="T12" s="57">
        <f>MAX(C9,C18,C27,C36,C45,C54,C63,C72,C81,C90,I9,I18,I27,I36,I45,I54,I63,I72,I81,I90)</f>
        <v>0.32900000000000001</v>
      </c>
      <c r="U12" s="64" t="str">
        <f>IF(F86=0,"",F86)</f>
        <v/>
      </c>
      <c r="V12" s="50" t="str">
        <f>IF(F88=0,"",F88)</f>
        <v/>
      </c>
      <c r="W12" s="66" t="str">
        <f>IF(F89=0,"",F89)</f>
        <v/>
      </c>
      <c r="X12" s="67">
        <f>F87</f>
        <v>0</v>
      </c>
      <c r="Y12" s="67">
        <f>L87</f>
        <v>0</v>
      </c>
      <c r="Z12" s="3" cm="1">
        <f t="array" ref="Z12" ca="1">INDIRECT("D"&amp;6+9*(ROW()-3))</f>
        <v>0</v>
      </c>
      <c r="AA12" s="68" cm="1">
        <f t="array" ref="AA12" ca="1">INDIRECT("C"&amp;1+9*(ROW()-3))</f>
        <v>0</v>
      </c>
    </row>
    <row r="13" spans="1:27" ht="21">
      <c r="A13" s="196"/>
      <c r="B13" s="199"/>
      <c r="C13" s="17"/>
      <c r="D13" s="17"/>
      <c r="E13" s="17"/>
      <c r="F13" s="74">
        <f>MIN(C12:E14)</f>
        <v>0</v>
      </c>
      <c r="G13" s="196"/>
      <c r="H13" s="199"/>
      <c r="I13" s="17"/>
      <c r="J13" s="17"/>
      <c r="K13" s="17"/>
      <c r="L13" s="74">
        <f>MIN(I12:K14)</f>
        <v>0</v>
      </c>
      <c r="M13" s="194"/>
      <c r="N13" s="194"/>
      <c r="O13" s="39" t="str">
        <f>IF(D13=0,"",IF(F14&lt;Statistics!$G$3*(1-Statistics!$Q$1),FALSE,TRUE))</f>
        <v/>
      </c>
      <c r="P13" s="39" t="str">
        <f>IF(J13=0,"",IF(L14&lt;Statistics!$G$3*(1-Statistics!$Q$1),FALSE,TRUE))</f>
        <v/>
      </c>
      <c r="Q13" s="49" t="s">
        <v>31</v>
      </c>
      <c r="R13" s="56">
        <f>MIN(D8,D17,D26,D35,D44,D53,D62,D71,D80,D89,J8,J17,J26,J35,J44,J53,J62,J71,J80,J89)</f>
        <v>0.311</v>
      </c>
      <c r="S13" s="56">
        <f>IFERROR(AVERAGE(D8,D17,D26,D35,D44,D53,D62,D71,D80,D89,J8,J17,J26,J35,J44,J53,J62,J71,J80,J89),0)</f>
        <v>0.311</v>
      </c>
      <c r="T13" s="57">
        <f>MAX(D8,D17,D26,D35,D44,D53,D62,D71,D80,D89,J8,J17,J26,J35,J44,J53,J62,J71,J80,J89)</f>
        <v>0.311</v>
      </c>
      <c r="U13" s="64" t="str">
        <f>IF(L5=0,"",L5)</f>
        <v/>
      </c>
      <c r="V13" s="50" t="str">
        <f>IF(L7=0,"",L7)</f>
        <v/>
      </c>
      <c r="W13" s="66" t="str">
        <f>IF(L8=0,"",L8)</f>
        <v/>
      </c>
      <c r="Z13" s="3" cm="1">
        <f t="array" ref="Z13" ca="1">INDIRECT("J"&amp;6+9*(ROW()-13))</f>
        <v>0</v>
      </c>
      <c r="AA13" s="68" cm="1">
        <f t="array" ref="AA13" ca="1">INDIRECT("I"&amp;1+9*(ROW()-13))</f>
        <v>0</v>
      </c>
    </row>
    <row r="14" spans="1:27" ht="21">
      <c r="A14" s="196"/>
      <c r="B14" s="199"/>
      <c r="C14" s="17"/>
      <c r="D14" s="17"/>
      <c r="E14" s="17"/>
      <c r="F14" s="33" t="str">
        <f>IFERROR(F13/F12,"")</f>
        <v/>
      </c>
      <c r="G14" s="196"/>
      <c r="H14" s="199"/>
      <c r="I14" s="17"/>
      <c r="J14" s="17"/>
      <c r="K14" s="17"/>
      <c r="L14" s="33" t="str">
        <f>IFERROR(L13/L12,"")</f>
        <v/>
      </c>
      <c r="M14" s="194"/>
      <c r="N14" s="194"/>
      <c r="O14" s="39" t="str">
        <f>IF(C17&lt;0.1,"",IF(F17&lt;Statistics!$G$7*(1-2*Statistics!$Q$1),FALSE,TRUE))</f>
        <v/>
      </c>
      <c r="P14" s="39" t="str">
        <f>IF(I17&lt;0.1,"",IF(L17&lt;Statistics!$G$7*(1-2*Statistics!$Q$1),FALSE,TRUE))</f>
        <v/>
      </c>
      <c r="Q14" s="49" t="s">
        <v>33</v>
      </c>
      <c r="R14" s="56">
        <f>MIN(D9,D18,D27,D36,D45,D54,D63,D72,D81,D90,J9,J18,J27,J36,J45,J54,J63,J72,J81,J90)</f>
        <v>0.61499999999999999</v>
      </c>
      <c r="S14" s="56">
        <f>IFERROR(AVERAGE(D9,D18,D27,D36,D45,D54,D63,D72,D81,D90,J9,J18,J27,J36,J45,J54,J63,J72,J81,J90),0)</f>
        <v>0.61499999999999999</v>
      </c>
      <c r="T14" s="57">
        <f>MAX(D9,D18,D27,D36,D45,D54,D63,D72,D81,D90,J9,J18,J27,J36,J45,J54,J63,J72,J81,J90)</f>
        <v>0.61499999999999999</v>
      </c>
      <c r="U14" s="64" t="str">
        <f>IF(L14=0,"",L14)</f>
        <v/>
      </c>
      <c r="V14" s="50" t="str">
        <f>IF(L16=0,"",L16)</f>
        <v/>
      </c>
      <c r="W14" s="66" t="str">
        <f>IF(L17=0,"",L17)</f>
        <v/>
      </c>
      <c r="Z14" s="3" cm="1">
        <f t="array" ref="Z14" ca="1">INDIRECT("J"&amp;6+9*(ROW()-13))</f>
        <v>0</v>
      </c>
      <c r="AA14" s="68" cm="1">
        <f t="array" ref="AA14" ca="1">INDIRECT("I"&amp;1+9*(ROW()-13))</f>
        <v>0</v>
      </c>
    </row>
    <row r="15" spans="1:27" ht="21">
      <c r="A15" s="196"/>
      <c r="B15" s="200"/>
      <c r="C15" s="75" t="s">
        <v>81</v>
      </c>
      <c r="D15" s="204"/>
      <c r="E15" s="204"/>
      <c r="F15" s="28">
        <f>MAX(C12:E14,C16)</f>
        <v>0</v>
      </c>
      <c r="G15" s="196"/>
      <c r="H15" s="200"/>
      <c r="I15" s="75" t="s">
        <v>81</v>
      </c>
      <c r="J15" s="204"/>
      <c r="K15" s="204"/>
      <c r="L15" s="28">
        <f>MAX(I12:K14,I16)</f>
        <v>0</v>
      </c>
      <c r="M15" s="194"/>
      <c r="N15" s="194"/>
      <c r="O15" s="39"/>
      <c r="P15" s="39"/>
      <c r="Q15" s="49" t="s">
        <v>35</v>
      </c>
      <c r="R15" s="56">
        <f>MIN(E8,E17,E26,E35,E44,E53,E62,E71,E80,E89,K8,K17,K26,K35,K44,K53,K62,K71,K80,K89)</f>
        <v>0.156</v>
      </c>
      <c r="S15" s="56">
        <f>IFERROR(AVERAGE(E8,E17,E26,E35,E44,E53,E62,E71,E80,E89,K8,K17,K26,K35,K44,K53,K62,K71,K80,K89),0)</f>
        <v>0.156</v>
      </c>
      <c r="T15" s="57">
        <f>MAX(E8,E17,E26,E35,E44,E53,E62,E71,E80,E89,K8,K17,K26,K35,K44,K53,K62,K71,K80,K89)</f>
        <v>0.156</v>
      </c>
      <c r="U15" s="64" t="str">
        <f>IF(L23=0,"",L23)</f>
        <v/>
      </c>
      <c r="V15" s="50" t="str">
        <f>IF(L25=0,"",L25)</f>
        <v/>
      </c>
      <c r="W15" s="66" t="str">
        <f>IF(L26=0,"",L26)</f>
        <v/>
      </c>
      <c r="Z15" s="3" cm="1">
        <f t="array" ref="Z15" ca="1">INDIRECT("J"&amp;6+9*(ROW()-13))</f>
        <v>0</v>
      </c>
      <c r="AA15" s="68" cm="1">
        <f t="array" ref="AA15" ca="1">INDIRECT("I"&amp;1+9*(ROW()-13))</f>
        <v>0</v>
      </c>
    </row>
    <row r="16" spans="1:27" ht="21">
      <c r="A16" s="196"/>
      <c r="B16" s="76" t="s">
        <v>83</v>
      </c>
      <c r="C16" s="77"/>
      <c r="D16" s="78"/>
      <c r="E16" s="79"/>
      <c r="F16" s="28" t="str">
        <f>IFERROR(C16/D16,"")</f>
        <v/>
      </c>
      <c r="G16" s="196"/>
      <c r="H16" s="76" t="s">
        <v>83</v>
      </c>
      <c r="I16" s="77"/>
      <c r="J16" s="78"/>
      <c r="K16" s="79"/>
      <c r="L16" s="28" t="str">
        <f>IFERROR(I16/J16,"")</f>
        <v/>
      </c>
      <c r="M16" s="194"/>
      <c r="N16" s="194"/>
      <c r="O16" s="39"/>
      <c r="P16" s="39"/>
      <c r="Q16" s="58" t="s">
        <v>36</v>
      </c>
      <c r="R16" s="59">
        <f>MIN(E9,E18,E27,E36,E45,E54,E63,E72,E81,E90,K9,K18,K27,K36,K45,K54,K63,K72,K81,K90)</f>
        <v>4.9000000000000002E-2</v>
      </c>
      <c r="S16" s="59">
        <f>IFERROR(AVERAGE(E9,E18,E27,E36,E45,E54,E63,E72,E81,E90,K9,K18,K27,K36,K45,K54,K63,K72,K81,K90),0)</f>
        <v>4.9000000000000002E-2</v>
      </c>
      <c r="T16" s="60">
        <f>MAX(E9,E18,E27,E36,E45,E54,E63,E72,E81,E90,K9,K18,K27,K36,K45,K54,K63,K72,K81,K90)</f>
        <v>4.9000000000000002E-2</v>
      </c>
      <c r="U16" s="64" t="str">
        <f>IF(L32=0,"",L32)</f>
        <v/>
      </c>
      <c r="V16" s="50" t="str">
        <f>IF(L34=0,"",L34)</f>
        <v/>
      </c>
      <c r="W16" s="66" t="str">
        <f>IF(L35=0,"",L35)</f>
        <v/>
      </c>
      <c r="Z16" s="3" cm="1">
        <f t="array" ref="Z16" ca="1">INDIRECT("J"&amp;6+9*(ROW()-13))</f>
        <v>0</v>
      </c>
      <c r="AA16" s="68" cm="1">
        <f t="array" ref="AA16" ca="1">INDIRECT("I"&amp;1+9*(ROW()-13))</f>
        <v>0</v>
      </c>
    </row>
    <row r="17" spans="1:27" ht="21">
      <c r="A17" s="196"/>
      <c r="B17" s="80"/>
      <c r="C17" s="30"/>
      <c r="D17" s="31"/>
      <c r="E17" s="32"/>
      <c r="F17" s="33">
        <f>0.5*ABS(C17*D18-C18*D17+D17*E18-D18*E17+E17*C18-E18*C17)/F18</f>
        <v>0</v>
      </c>
      <c r="G17" s="196"/>
      <c r="H17" s="80"/>
      <c r="I17" s="30"/>
      <c r="J17" s="31"/>
      <c r="K17" s="32"/>
      <c r="L17" s="33">
        <f>0.5*ABS(I17*J18-I18*J17+J17*K18-J18*K17+K17*I18-K18*I17)/L18</f>
        <v>0</v>
      </c>
      <c r="M17" s="194"/>
      <c r="N17" s="194"/>
      <c r="O17" s="39"/>
      <c r="P17" s="39"/>
      <c r="R17" s="47"/>
      <c r="S17" s="3"/>
      <c r="T17" s="3"/>
      <c r="U17" s="64" t="str">
        <f>IF(L41=0,"",L41)</f>
        <v/>
      </c>
      <c r="V17" s="50" t="str">
        <f>IF(L43=0,"",L43)</f>
        <v/>
      </c>
      <c r="W17" s="66" t="str">
        <f>IF(L44=0,"",L44)</f>
        <v/>
      </c>
      <c r="Z17" s="3" cm="1">
        <f t="array" ref="Z17" ca="1">INDIRECT("J"&amp;6+9*(ROW()-13))</f>
        <v>0</v>
      </c>
      <c r="AA17" s="68" cm="1">
        <f t="array" ref="AA17" ca="1">INDIRECT("I"&amp;1+9*(ROW()-13))</f>
        <v>0</v>
      </c>
    </row>
    <row r="18" spans="1:27" ht="21">
      <c r="A18" s="197"/>
      <c r="B18" s="81"/>
      <c r="C18" s="35"/>
      <c r="D18" s="36"/>
      <c r="E18" s="37"/>
      <c r="F18" s="38">
        <f>0.5*ABS(0.674*0.712-0.218*0.326+0.218*0.08-0.14*0.712+0.14*0.326-0.674*0.08)</f>
        <v>0.15915000000000001</v>
      </c>
      <c r="G18" s="197"/>
      <c r="H18" s="81"/>
      <c r="I18" s="35"/>
      <c r="J18" s="36"/>
      <c r="K18" s="37"/>
      <c r="L18" s="38">
        <f>0.5*ABS(0.674*0.712-0.218*0.326+0.218*0.08-0.14*0.712+0.14*0.326-0.674*0.08)</f>
        <v>0.15915000000000001</v>
      </c>
      <c r="M18" s="194"/>
      <c r="N18" s="194"/>
      <c r="O18" s="39"/>
      <c r="P18" s="39"/>
      <c r="U18" s="64" t="str">
        <f>IF(L50=0,"",L50)</f>
        <v/>
      </c>
      <c r="V18" s="50" t="str">
        <f>IF(L52=0,"",L52)</f>
        <v/>
      </c>
      <c r="W18" s="66" t="str">
        <f>IF(L53=0,"",L53)</f>
        <v/>
      </c>
      <c r="Z18" s="3" cm="1">
        <f t="array" ref="Z18" ca="1">INDIRECT("J"&amp;6+9*(ROW()-13))</f>
        <v>0</v>
      </c>
      <c r="AA18" s="68" cm="1">
        <f t="array" ref="AA18" ca="1">INDIRECT("I"&amp;1+9*(ROW()-13))</f>
        <v>0</v>
      </c>
    </row>
    <row r="19" spans="1:27" ht="21">
      <c r="A19" s="195">
        <f>A10+1</f>
        <v>3</v>
      </c>
      <c r="B19" s="4" t="s">
        <v>75</v>
      </c>
      <c r="C19" s="205"/>
      <c r="D19" s="205"/>
      <c r="E19" s="205"/>
      <c r="F19" s="206"/>
      <c r="G19" s="195">
        <f>G10+1</f>
        <v>13</v>
      </c>
      <c r="H19" s="4" t="s">
        <v>75</v>
      </c>
      <c r="I19" s="205"/>
      <c r="J19" s="205"/>
      <c r="K19" s="205"/>
      <c r="L19" s="206"/>
      <c r="M19" s="3"/>
      <c r="N19" s="3"/>
      <c r="O19" s="39"/>
      <c r="P19" s="39"/>
      <c r="U19" s="64" t="str">
        <f>IF(L59=0,"",L59)</f>
        <v/>
      </c>
      <c r="V19" s="50" t="str">
        <f>IF(L61=0,"",L61)</f>
        <v/>
      </c>
      <c r="W19" s="66" t="str">
        <f>IF(L62=0,"",L62)</f>
        <v/>
      </c>
      <c r="Z19" s="3" cm="1">
        <f t="array" ref="Z19" ca="1">INDIRECT("J"&amp;6+9*(ROW()-13))</f>
        <v>0</v>
      </c>
      <c r="AA19" s="68" cm="1">
        <f t="array" ref="AA19" ca="1">INDIRECT("I"&amp;1+9*(ROW()-13))</f>
        <v>0</v>
      </c>
    </row>
    <row r="20" spans="1:27" ht="21" customHeight="1">
      <c r="A20" s="196"/>
      <c r="B20" s="198" t="s">
        <v>76</v>
      </c>
      <c r="C20" s="201" t="str">
        <f>IF(Statistics!$R$2,Statistics!$Q$2,"Use '5/13 points' sheet !")</f>
        <v>UHD 9 @ 1/9</v>
      </c>
      <c r="D20" s="202"/>
      <c r="E20" s="203"/>
      <c r="F20" s="6"/>
      <c r="G20" s="196"/>
      <c r="H20" s="198" t="s">
        <v>76</v>
      </c>
      <c r="I20" s="201" t="str">
        <f>IF(Statistics!$R$2,Statistics!$Q$2,"Use '5/13 points' sheet !")</f>
        <v>UHD 9 @ 1/9</v>
      </c>
      <c r="J20" s="202"/>
      <c r="K20" s="203"/>
      <c r="L20" s="6"/>
      <c r="M20" s="194" t="str">
        <f>IF(Statistics!$R$2,CONCATENATE(IF(O20="","要测试九个点和白墙亮度; ",IF(O20,,"工厂模式白屏亮度不够, 再一次确认下; ")),IF(O21="","要测试白黑屏亮度; ",IF(O21,,"工厂模式黑屏亮度太大, 再一次确认下; ")),IF(O22="","要测试九个点亮度; ",IF(O22,,"9个白点之间的亮度差异太高, 再一次确认下; ")),IF(O23="","要测试四个颜色; ",IF(O23,,"3个红绿蓝颜色不太对的, 再一次确认下")),IF(F21&gt;C25,"告诉Vova和工厂业务电视软件有大问题: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20" s="194" t="str">
        <f>IF(Statistics!$R$2,CONCATENATE(IF(P20="","要测试九个点和白墙亮度; ",IF(P20,,"工厂模式白屏亮度不够, 再一次确认下; ")),IF(P21="","要测试白黑屏亮度; ",IF(P21,,"工厂模式黑屏亮度太大, 再一次确认下; ")),IF(P22="","要测试九个点亮度; ",IF(P22,,"9个白点之间的亮度差异太高, 再一次确认下; ")),IF(P23="","要测试四个颜色; ",IF(P23,,"3个红绿蓝颜色不太对的, 再一次确认下")),IF(G21&gt;D25,"告诉Vova和工厂业务电视软件有大问题: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20" s="39" t="str">
        <f>IF(C25&lt;1,"",IF(F24&lt;Statistics!$G$2*(1-Statistics!$Q$1),FALSE,TRUE))</f>
        <v/>
      </c>
      <c r="P20" s="39" t="str">
        <f>IF(I25&lt;1,"",IF(L24&lt;Statistics!$G$2*(1-Statistics!$Q$1),FALSE,TRUE))</f>
        <v/>
      </c>
      <c r="U20" s="64" t="str">
        <f>IF(L68=0,"",L68)</f>
        <v/>
      </c>
      <c r="V20" s="50" t="str">
        <f>IF(L70=0,"",L70)</f>
        <v/>
      </c>
      <c r="W20" s="66" t="str">
        <f>IF(L71=0,"",L71)</f>
        <v/>
      </c>
      <c r="Z20" s="3" cm="1">
        <f t="array" ref="Z20" ca="1">INDIRECT("J"&amp;6+9*(ROW()-13))</f>
        <v>0</v>
      </c>
      <c r="AA20" s="68" cm="1">
        <f t="array" ref="AA20" ca="1">INDIRECT("I"&amp;1+9*(ROW()-13))</f>
        <v>0</v>
      </c>
    </row>
    <row r="21" spans="1:27" ht="21">
      <c r="A21" s="196"/>
      <c r="B21" s="199"/>
      <c r="C21" s="17"/>
      <c r="D21" s="17"/>
      <c r="E21" s="17"/>
      <c r="F21" s="74">
        <f>MAX(C21:E23)</f>
        <v>0</v>
      </c>
      <c r="G21" s="196"/>
      <c r="H21" s="199"/>
      <c r="I21" s="17"/>
      <c r="J21" s="17"/>
      <c r="K21" s="17"/>
      <c r="L21" s="74">
        <f>MAX(I21:K23)</f>
        <v>0</v>
      </c>
      <c r="M21" s="194"/>
      <c r="N21" s="194"/>
      <c r="O21" s="39" t="str">
        <f>IF(D25=0,"",IF(F25&lt;Statistics!$G$5*(1-Statistics!$Q$1),FALSE,TRUE))</f>
        <v/>
      </c>
      <c r="P21" s="39" t="str">
        <f>IF(J25=0,"",IF(L25&lt;Statistics!$G$5*(1-Statistics!$Q$1),FALSE,TRUE))</f>
        <v/>
      </c>
      <c r="U21" s="64" t="str">
        <f>IF(L77=0,"",L77)</f>
        <v/>
      </c>
      <c r="V21" s="50" t="str">
        <f>IF(L79=0,"",L79)</f>
        <v/>
      </c>
      <c r="W21" s="66" t="str">
        <f>IF(L80=0,"",L80)</f>
        <v/>
      </c>
      <c r="Z21" s="3" cm="1">
        <f t="array" ref="Z21" ca="1">INDIRECT("J"&amp;6+9*(ROW()-13))</f>
        <v>0</v>
      </c>
      <c r="AA21" s="68" cm="1">
        <f t="array" ref="AA21" ca="1">INDIRECT("I"&amp;1+9*(ROW()-13))</f>
        <v>0</v>
      </c>
    </row>
    <row r="22" spans="1:27" ht="21">
      <c r="A22" s="196"/>
      <c r="B22" s="199"/>
      <c r="C22" s="17"/>
      <c r="D22" s="17"/>
      <c r="E22" s="17"/>
      <c r="F22" s="74">
        <f>MIN(C21:E23)</f>
        <v>0</v>
      </c>
      <c r="G22" s="196"/>
      <c r="H22" s="199"/>
      <c r="I22" s="17"/>
      <c r="J22" s="17"/>
      <c r="K22" s="17"/>
      <c r="L22" s="74">
        <f>MIN(I21:K23)</f>
        <v>0</v>
      </c>
      <c r="M22" s="194"/>
      <c r="N22" s="194"/>
      <c r="O22" s="39" t="str">
        <f>IF(D22=0,"",IF(F23&lt;Statistics!$G$3*(1-Statistics!$Q$1),FALSE,TRUE))</f>
        <v/>
      </c>
      <c r="P22" s="39" t="str">
        <f>IF(J22=0,"",IF(L23&lt;Statistics!$G$3*(1-Statistics!$Q$1),FALSE,TRUE))</f>
        <v/>
      </c>
      <c r="U22" s="70" t="str">
        <f>IF(L86=0,"",L86)</f>
        <v/>
      </c>
      <c r="V22" s="72" t="str">
        <f>IF(L88=0,"",L88)</f>
        <v/>
      </c>
      <c r="W22" s="73" t="str">
        <f>IF(L89=0,"",L89)</f>
        <v/>
      </c>
      <c r="Z22" s="3" cm="1">
        <f t="array" ref="Z22" ca="1">INDIRECT("J"&amp;6+9*(ROW()-13))</f>
        <v>0</v>
      </c>
      <c r="AA22" s="68" cm="1">
        <f t="array" ref="AA22" ca="1">INDIRECT("I"&amp;1+9*(ROW()-13))</f>
        <v>0</v>
      </c>
    </row>
    <row r="23" spans="1:27" ht="21">
      <c r="A23" s="196"/>
      <c r="B23" s="199"/>
      <c r="C23" s="17"/>
      <c r="D23" s="17"/>
      <c r="E23" s="17"/>
      <c r="F23" s="33" t="str">
        <f>IFERROR(F22/F21,"")</f>
        <v/>
      </c>
      <c r="G23" s="196"/>
      <c r="H23" s="199"/>
      <c r="I23" s="17"/>
      <c r="J23" s="17"/>
      <c r="K23" s="17"/>
      <c r="L23" s="33" t="str">
        <f>IFERROR(L22/L21,"")</f>
        <v/>
      </c>
      <c r="M23" s="194"/>
      <c r="N23" s="194"/>
      <c r="O23" s="39" t="str">
        <f>IF(C26&lt;0.1,"",IF(F26&lt;Statistics!$G$7*(1-2*Statistics!$Q$1),FALSE,TRUE))</f>
        <v/>
      </c>
      <c r="P23" s="39" t="str">
        <f>IF(I26&lt;0.1,"",IF(L26&lt;Statistics!$G$7*(1-2*Statistics!$Q$1),FALSE,TRUE))</f>
        <v/>
      </c>
      <c r="U23" s="69"/>
      <c r="Z23" s="68">
        <f ca="1">IFERROR(AVERAGEIF(Z3:Z22,"&gt;0"),0)</f>
        <v>10292</v>
      </c>
    </row>
    <row r="24" spans="1:27" ht="21">
      <c r="A24" s="196"/>
      <c r="B24" s="200"/>
      <c r="C24" s="75" t="s">
        <v>81</v>
      </c>
      <c r="D24" s="204"/>
      <c r="E24" s="204"/>
      <c r="F24" s="28">
        <f>MAX(C21:E23,C25)</f>
        <v>0</v>
      </c>
      <c r="G24" s="196"/>
      <c r="H24" s="200"/>
      <c r="I24" s="75" t="s">
        <v>81</v>
      </c>
      <c r="J24" s="204"/>
      <c r="K24" s="204"/>
      <c r="L24" s="28">
        <f>MAX(I21:K23,I25)</f>
        <v>0</v>
      </c>
      <c r="M24" s="194"/>
      <c r="N24" s="194"/>
      <c r="O24" s="39"/>
      <c r="P24" s="39"/>
      <c r="Z24" s="3" cm="1">
        <f t="array" ref="Z24" ca="1">INDEX(Z3:Z22,MATCH(MIN(ABS(Z3:Z22-Z23)),ABS(Z3:Z22-Z23),0))</f>
        <v>10292</v>
      </c>
      <c r="AA24" s="3">
        <f ca="1">VLOOKUP(Z24,Z3:AA22,2,0)</f>
        <v>123</v>
      </c>
    </row>
    <row r="25" spans="1:27" ht="21">
      <c r="A25" s="196"/>
      <c r="B25" s="76" t="s">
        <v>83</v>
      </c>
      <c r="C25" s="77"/>
      <c r="D25" s="78"/>
      <c r="E25" s="79"/>
      <c r="F25" s="28" t="str">
        <f>IFERROR(C25/D25,"")</f>
        <v/>
      </c>
      <c r="G25" s="196"/>
      <c r="H25" s="76" t="s">
        <v>83</v>
      </c>
      <c r="I25" s="77"/>
      <c r="J25" s="78"/>
      <c r="K25" s="79"/>
      <c r="L25" s="28" t="str">
        <f>IFERROR(I25/J25,"")</f>
        <v/>
      </c>
      <c r="M25" s="194"/>
      <c r="N25" s="194"/>
      <c r="O25" s="39"/>
      <c r="P25" s="39"/>
    </row>
    <row r="26" spans="1:27" ht="21">
      <c r="A26" s="196"/>
      <c r="B26" s="80"/>
      <c r="C26" s="30"/>
      <c r="D26" s="31"/>
      <c r="E26" s="32"/>
      <c r="F26" s="33">
        <f>0.5*ABS(C26*D27-C27*D26+D26*E27-D27*E26+E26*C27-E27*C26)/F27</f>
        <v>0</v>
      </c>
      <c r="G26" s="196"/>
      <c r="H26" s="80"/>
      <c r="I26" s="30"/>
      <c r="J26" s="31"/>
      <c r="K26" s="32"/>
      <c r="L26" s="33">
        <f>0.5*ABS(I26*J27-I27*J26+J26*K27-J27*K26+K26*I27-K27*I26)/L27</f>
        <v>0</v>
      </c>
      <c r="M26" s="194"/>
      <c r="N26" s="194"/>
      <c r="O26" s="39"/>
      <c r="P26" s="39"/>
    </row>
    <row r="27" spans="1:27" ht="21">
      <c r="A27" s="197"/>
      <c r="B27" s="81"/>
      <c r="C27" s="35"/>
      <c r="D27" s="36"/>
      <c r="E27" s="37"/>
      <c r="F27" s="38">
        <f>0.5*ABS(0.674*0.712-0.218*0.326+0.218*0.08-0.14*0.712+0.14*0.326-0.674*0.08)</f>
        <v>0.15915000000000001</v>
      </c>
      <c r="G27" s="197"/>
      <c r="H27" s="81"/>
      <c r="I27" s="35"/>
      <c r="J27" s="36"/>
      <c r="K27" s="37"/>
      <c r="L27" s="38">
        <f>0.5*ABS(0.674*0.712-0.218*0.326+0.218*0.08-0.14*0.712+0.14*0.326-0.674*0.08)</f>
        <v>0.15915000000000001</v>
      </c>
      <c r="M27" s="194"/>
      <c r="N27" s="194"/>
      <c r="O27" s="39"/>
      <c r="P27" s="39"/>
    </row>
    <row r="28" spans="1:27" ht="21">
      <c r="A28" s="195">
        <f>A19+1</f>
        <v>4</v>
      </c>
      <c r="B28" s="4" t="s">
        <v>75</v>
      </c>
      <c r="C28" s="205"/>
      <c r="D28" s="205"/>
      <c r="E28" s="205"/>
      <c r="F28" s="206"/>
      <c r="G28" s="195">
        <f>G19+1</f>
        <v>14</v>
      </c>
      <c r="H28" s="4" t="s">
        <v>75</v>
      </c>
      <c r="I28" s="205"/>
      <c r="J28" s="205"/>
      <c r="K28" s="205"/>
      <c r="L28" s="206"/>
      <c r="M28" s="3"/>
      <c r="N28" s="3"/>
      <c r="O28" s="39"/>
      <c r="P28" s="39"/>
    </row>
    <row r="29" spans="1:27" ht="21" customHeight="1">
      <c r="A29" s="196"/>
      <c r="B29" s="198" t="s">
        <v>76</v>
      </c>
      <c r="C29" s="201" t="str">
        <f>IF(Statistics!$R$2,Statistics!$Q$2,"Use '5/13 points' sheet !")</f>
        <v>UHD 9 @ 1/9</v>
      </c>
      <c r="D29" s="202"/>
      <c r="E29" s="203"/>
      <c r="F29" s="6"/>
      <c r="G29" s="196"/>
      <c r="H29" s="198" t="s">
        <v>76</v>
      </c>
      <c r="I29" s="201" t="str">
        <f>IF(Statistics!$R$2,Statistics!$Q$2,"Use '5/13 points' sheet !")</f>
        <v>UHD 9 @ 1/9</v>
      </c>
      <c r="J29" s="202"/>
      <c r="K29" s="203"/>
      <c r="L29" s="6"/>
      <c r="M29" s="194" t="str">
        <f>IF(Statistics!$R$2,CONCATENATE(IF(O29="","要测试九个点和白墙亮度; ",IF(O29,,"工厂模式白屏亮度不够, 再一次确认下; ")),IF(O30="","要测试白黑屏亮度; ",IF(O30,,"工厂模式黑屏亮度太大, 再一次确认下; ")),IF(O31="","要测试九个点亮度; ",IF(O31,,"9个白点之间的亮度差异太高, 再一次确认下; ")),IF(O32="","要测试四个颜色; ",IF(O32,,"3个红绿蓝颜色不太对的, 再一次确认下")),IF(F30&gt;C34,"告诉Vova和工厂业务电视软件有大问题: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29" s="194" t="str">
        <f>IF(Statistics!$R$2,CONCATENATE(IF(P29="","要测试九个点和白墙亮度; ",IF(P29,,"工厂模式白屏亮度不够, 再一次确认下; ")),IF(P30="","要测试白黑屏亮度; ",IF(P30,,"工厂模式黑屏亮度太大, 再一次确认下; ")),IF(P31="","要测试九个点亮度; ",IF(P31,,"9个白点之间的亮度差异太高, 再一次确认下; ")),IF(P32="","要测试四个颜色; ",IF(P32,,"3个红绿蓝颜色不太对的, 再一次确认下")),IF(G30&gt;D34,"告诉Vova和工厂业务电视软件有大问题: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29" s="39" t="str">
        <f>IF(C34&lt;1,"",IF(F33&lt;Statistics!$G$2*(1-Statistics!$Q$1),FALSE,TRUE))</f>
        <v/>
      </c>
      <c r="P29" s="39" t="str">
        <f>IF(I34&lt;1,"",IF(L33&lt;Statistics!$G$2*(1-Statistics!$Q$1),FALSE,TRUE))</f>
        <v/>
      </c>
    </row>
    <row r="30" spans="1:27" ht="21">
      <c r="A30" s="196"/>
      <c r="B30" s="199"/>
      <c r="C30" s="17"/>
      <c r="D30" s="17"/>
      <c r="E30" s="17"/>
      <c r="F30" s="74">
        <f>MAX(C30:E32)</f>
        <v>0</v>
      </c>
      <c r="G30" s="196"/>
      <c r="H30" s="199"/>
      <c r="I30" s="17"/>
      <c r="J30" s="17"/>
      <c r="K30" s="17"/>
      <c r="L30" s="74">
        <f>MAX(I30:K32)</f>
        <v>0</v>
      </c>
      <c r="M30" s="194"/>
      <c r="N30" s="194"/>
      <c r="O30" s="39" t="str">
        <f>IF(D34=0,"",IF(F34&lt;Statistics!$G$5*(1-Statistics!$Q$1),FALSE,TRUE))</f>
        <v/>
      </c>
      <c r="P30" s="39" t="str">
        <f>IF(J34=0,"",IF(L34&lt;Statistics!$G$5*(1-Statistics!$Q$1),FALSE,TRUE))</f>
        <v/>
      </c>
    </row>
    <row r="31" spans="1:27" ht="21">
      <c r="A31" s="196"/>
      <c r="B31" s="199"/>
      <c r="C31" s="17"/>
      <c r="D31" s="17"/>
      <c r="E31" s="17"/>
      <c r="F31" s="74">
        <f>MIN(C30:E32)</f>
        <v>0</v>
      </c>
      <c r="G31" s="196"/>
      <c r="H31" s="199"/>
      <c r="I31" s="17"/>
      <c r="J31" s="17"/>
      <c r="K31" s="17"/>
      <c r="L31" s="74">
        <f>MIN(I30:K32)</f>
        <v>0</v>
      </c>
      <c r="M31" s="194"/>
      <c r="N31" s="194"/>
      <c r="O31" s="39" t="str">
        <f>IF(D31=0,"",IF(F32&lt;Statistics!$G$3*(1-Statistics!$Q$1),FALSE,TRUE))</f>
        <v/>
      </c>
      <c r="P31" s="39" t="str">
        <f>IF(J31=0,"",IF(L32&lt;Statistics!$G$3*(1-Statistics!$Q$1),FALSE,TRUE))</f>
        <v/>
      </c>
    </row>
    <row r="32" spans="1:27" ht="21">
      <c r="A32" s="196"/>
      <c r="B32" s="199"/>
      <c r="C32" s="17"/>
      <c r="D32" s="17"/>
      <c r="E32" s="17"/>
      <c r="F32" s="33" t="str">
        <f>IFERROR(F31/F30,"")</f>
        <v/>
      </c>
      <c r="G32" s="196"/>
      <c r="H32" s="199"/>
      <c r="I32" s="17"/>
      <c r="J32" s="17"/>
      <c r="K32" s="17"/>
      <c r="L32" s="33" t="str">
        <f>IFERROR(L31/L30,"")</f>
        <v/>
      </c>
      <c r="M32" s="194"/>
      <c r="N32" s="194"/>
      <c r="O32" s="39" t="str">
        <f>IF(C35&lt;0.1,"",IF(F35&lt;Statistics!$G$7*(1-2*Statistics!$Q$1),FALSE,TRUE))</f>
        <v/>
      </c>
      <c r="P32" s="39" t="str">
        <f>IF(I35&lt;0.1,"",IF(L35&lt;Statistics!$G$7*(1-2*Statistics!$Q$1),FALSE,TRUE))</f>
        <v/>
      </c>
    </row>
    <row r="33" spans="1:16" ht="21">
      <c r="A33" s="196"/>
      <c r="B33" s="200"/>
      <c r="C33" s="75" t="s">
        <v>81</v>
      </c>
      <c r="D33" s="204"/>
      <c r="E33" s="204"/>
      <c r="F33" s="28">
        <f>MAX(C30:E32,C34)</f>
        <v>0</v>
      </c>
      <c r="G33" s="196"/>
      <c r="H33" s="200"/>
      <c r="I33" s="75" t="s">
        <v>81</v>
      </c>
      <c r="J33" s="204"/>
      <c r="K33" s="204"/>
      <c r="L33" s="28">
        <f>MAX(I30:K32,I34)</f>
        <v>0</v>
      </c>
      <c r="M33" s="194"/>
      <c r="N33" s="194"/>
      <c r="O33" s="39"/>
      <c r="P33" s="39"/>
    </row>
    <row r="34" spans="1:16" ht="21">
      <c r="A34" s="196"/>
      <c r="B34" s="76" t="s">
        <v>83</v>
      </c>
      <c r="C34" s="77"/>
      <c r="D34" s="78"/>
      <c r="E34" s="79"/>
      <c r="F34" s="28" t="str">
        <f>IFERROR(C34/D34,"")</f>
        <v/>
      </c>
      <c r="G34" s="196"/>
      <c r="H34" s="76" t="s">
        <v>83</v>
      </c>
      <c r="I34" s="77"/>
      <c r="J34" s="78"/>
      <c r="K34" s="79"/>
      <c r="L34" s="28" t="str">
        <f>IFERROR(I34/J34,"")</f>
        <v/>
      </c>
      <c r="M34" s="194"/>
      <c r="N34" s="194"/>
      <c r="O34" s="39"/>
      <c r="P34" s="39"/>
    </row>
    <row r="35" spans="1:16" ht="21">
      <c r="A35" s="196"/>
      <c r="B35" s="80"/>
      <c r="C35" s="30"/>
      <c r="D35" s="31"/>
      <c r="E35" s="32"/>
      <c r="F35" s="33">
        <f>0.5*ABS(C35*D36-C36*D35+D35*E36-D36*E35+E35*C36-E36*C35)/F36</f>
        <v>0</v>
      </c>
      <c r="G35" s="196"/>
      <c r="H35" s="80"/>
      <c r="I35" s="30"/>
      <c r="J35" s="31"/>
      <c r="K35" s="32"/>
      <c r="L35" s="33">
        <f>0.5*ABS(I35*J36-I36*J35+J35*K36-J36*K35+K35*I36-K36*I35)/L36</f>
        <v>0</v>
      </c>
      <c r="M35" s="194"/>
      <c r="N35" s="194"/>
      <c r="O35" s="39"/>
      <c r="P35" s="39"/>
    </row>
    <row r="36" spans="1:16" ht="21">
      <c r="A36" s="197"/>
      <c r="B36" s="81"/>
      <c r="C36" s="35"/>
      <c r="D36" s="36"/>
      <c r="E36" s="37"/>
      <c r="F36" s="38">
        <f>0.5*ABS(0.674*0.712-0.218*0.326+0.218*0.08-0.14*0.712+0.14*0.326-0.674*0.08)</f>
        <v>0.15915000000000001</v>
      </c>
      <c r="G36" s="197"/>
      <c r="H36" s="81"/>
      <c r="I36" s="35"/>
      <c r="J36" s="36"/>
      <c r="K36" s="37"/>
      <c r="L36" s="38">
        <f>0.5*ABS(0.674*0.712-0.218*0.326+0.218*0.08-0.14*0.712+0.14*0.326-0.674*0.08)</f>
        <v>0.15915000000000001</v>
      </c>
      <c r="M36" s="194"/>
      <c r="N36" s="194"/>
      <c r="O36" s="39"/>
      <c r="P36" s="39"/>
    </row>
    <row r="37" spans="1:16" ht="21">
      <c r="A37" s="195">
        <f>A28+1</f>
        <v>5</v>
      </c>
      <c r="B37" s="4" t="s">
        <v>75</v>
      </c>
      <c r="C37" s="205"/>
      <c r="D37" s="205"/>
      <c r="E37" s="205"/>
      <c r="F37" s="206"/>
      <c r="G37" s="195">
        <f>G28+1</f>
        <v>15</v>
      </c>
      <c r="H37" s="4" t="s">
        <v>75</v>
      </c>
      <c r="I37" s="205"/>
      <c r="J37" s="205"/>
      <c r="K37" s="205"/>
      <c r="L37" s="206"/>
      <c r="M37" s="3"/>
      <c r="N37" s="3"/>
      <c r="O37" s="39"/>
      <c r="P37" s="39"/>
    </row>
    <row r="38" spans="1:16" ht="21" customHeight="1">
      <c r="A38" s="196"/>
      <c r="B38" s="198" t="s">
        <v>76</v>
      </c>
      <c r="C38" s="201" t="str">
        <f>IF(Statistics!$R$2,Statistics!$Q$2,"Use '5/13 points' sheet !")</f>
        <v>UHD 9 @ 1/9</v>
      </c>
      <c r="D38" s="202"/>
      <c r="E38" s="203"/>
      <c r="F38" s="6"/>
      <c r="G38" s="196"/>
      <c r="H38" s="198" t="s">
        <v>76</v>
      </c>
      <c r="I38" s="201" t="str">
        <f>IF(Statistics!$R$2,Statistics!$Q$2,"Use '5/13 points' sheet !")</f>
        <v>UHD 9 @ 1/9</v>
      </c>
      <c r="J38" s="202"/>
      <c r="K38" s="203"/>
      <c r="L38" s="6"/>
      <c r="M38" s="194" t="str">
        <f>IF(Statistics!$R$2,CONCATENATE(IF(O38="","要测试九个点和白墙亮度; ",IF(O38,,"工厂模式白屏亮度不够, 再一次确认下; ")),IF(O39="","要测试白黑屏亮度; ",IF(O39,,"工厂模式黑屏亮度太大, 再一次确认下; ")),IF(O40="","要测试九个点亮度; ",IF(O40,,"9个白点之间的亮度差异太高, 再一次确认下; ")),IF(O41="","要测试四个颜色; ",IF(O41,,"3个红绿蓝颜色不太对的, 再一次确认下")),IF(F39&gt;C43,"告诉Vova和工厂业务电视软件有大问题: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38" s="194" t="str">
        <f>IF(Statistics!$R$2,CONCATENATE(IF(P38="","要测试九个点和白墙亮度; ",IF(P38,,"工厂模式白屏亮度不够, 再一次确认下; ")),IF(P39="","要测试白黑屏亮度; ",IF(P39,,"工厂模式黑屏亮度太大, 再一次确认下; ")),IF(P40="","要测试九个点亮度; ",IF(P40,,"9个白点之间的亮度差异太高, 再一次确认下; ")),IF(P41="","要测试四个颜色; ",IF(P41,,"3个红绿蓝颜色不太对的, 再一次确认下")),IF(G39&gt;D43,"告诉Vova和工厂业务电视软件有大问题: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38" s="39" t="str">
        <f>IF(C43&lt;1,"",IF(F42&lt;Statistics!$G$2*(1-Statistics!$Q$1),FALSE,TRUE))</f>
        <v/>
      </c>
      <c r="P38" s="39" t="str">
        <f>IF(I43&lt;1,"",IF(L42&lt;Statistics!$G$2*(1-Statistics!$Q$1),FALSE,TRUE))</f>
        <v/>
      </c>
    </row>
    <row r="39" spans="1:16" ht="21">
      <c r="A39" s="196"/>
      <c r="B39" s="199"/>
      <c r="C39" s="17"/>
      <c r="D39" s="17"/>
      <c r="E39" s="17"/>
      <c r="F39" s="74">
        <f>MAX(C39:E41)</f>
        <v>0</v>
      </c>
      <c r="G39" s="196"/>
      <c r="H39" s="199"/>
      <c r="I39" s="17"/>
      <c r="J39" s="17"/>
      <c r="K39" s="17"/>
      <c r="L39" s="74">
        <f>MAX(I39:K41)</f>
        <v>0</v>
      </c>
      <c r="M39" s="194"/>
      <c r="N39" s="194"/>
      <c r="O39" s="39" t="str">
        <f>IF(D43=0,"",IF(F43&lt;Statistics!$G$5*(1-Statistics!$Q$1),FALSE,TRUE))</f>
        <v/>
      </c>
      <c r="P39" s="39" t="str">
        <f>IF(J43=0,"",IF(L43&lt;Statistics!$G$5*(1-Statistics!$Q$1),FALSE,TRUE))</f>
        <v/>
      </c>
    </row>
    <row r="40" spans="1:16" ht="21">
      <c r="A40" s="196"/>
      <c r="B40" s="199"/>
      <c r="C40" s="17"/>
      <c r="D40" s="17"/>
      <c r="E40" s="17"/>
      <c r="F40" s="74">
        <f>MIN(C39:E41)</f>
        <v>0</v>
      </c>
      <c r="G40" s="196"/>
      <c r="H40" s="199"/>
      <c r="I40" s="17"/>
      <c r="J40" s="17"/>
      <c r="K40" s="17"/>
      <c r="L40" s="74">
        <f>MIN(I39:K41)</f>
        <v>0</v>
      </c>
      <c r="M40" s="194"/>
      <c r="N40" s="194"/>
      <c r="O40" s="39" t="str">
        <f>IF(D40=0,"",IF(F41&lt;Statistics!$G$3*(1-Statistics!$Q$1),FALSE,TRUE))</f>
        <v/>
      </c>
      <c r="P40" s="39" t="str">
        <f>IF(J40=0,"",IF(L41&lt;Statistics!$G$3*(1-Statistics!$Q$1),FALSE,TRUE))</f>
        <v/>
      </c>
    </row>
    <row r="41" spans="1:16" ht="21">
      <c r="A41" s="196"/>
      <c r="B41" s="199"/>
      <c r="C41" s="17"/>
      <c r="D41" s="17"/>
      <c r="E41" s="17"/>
      <c r="F41" s="33" t="str">
        <f>IFERROR(F40/F39,"")</f>
        <v/>
      </c>
      <c r="G41" s="196"/>
      <c r="H41" s="199"/>
      <c r="I41" s="17"/>
      <c r="J41" s="17"/>
      <c r="K41" s="17"/>
      <c r="L41" s="33" t="str">
        <f>IFERROR(L40/L39,"")</f>
        <v/>
      </c>
      <c r="M41" s="194"/>
      <c r="N41" s="194"/>
      <c r="O41" s="39" t="str">
        <f>IF(C44&lt;0.1,"",IF(F44&lt;Statistics!$G$7*(1-2*Statistics!$Q$1),FALSE,TRUE))</f>
        <v/>
      </c>
      <c r="P41" s="39" t="str">
        <f>IF(I44&lt;0.1,"",IF(L44&lt;Statistics!$G$7*(1-2*Statistics!$Q$1),FALSE,TRUE))</f>
        <v/>
      </c>
    </row>
    <row r="42" spans="1:16" ht="21">
      <c r="A42" s="196"/>
      <c r="B42" s="200"/>
      <c r="C42" s="75" t="s">
        <v>81</v>
      </c>
      <c r="D42" s="204"/>
      <c r="E42" s="204"/>
      <c r="F42" s="28">
        <f>MAX(C39:E41,C43)</f>
        <v>0</v>
      </c>
      <c r="G42" s="196"/>
      <c r="H42" s="200"/>
      <c r="I42" s="75" t="s">
        <v>81</v>
      </c>
      <c r="J42" s="204"/>
      <c r="K42" s="204"/>
      <c r="L42" s="28">
        <f>MAX(I39:K41,I43)</f>
        <v>0</v>
      </c>
      <c r="M42" s="194"/>
      <c r="N42" s="194"/>
      <c r="O42" s="39"/>
      <c r="P42" s="39"/>
    </row>
    <row r="43" spans="1:16" ht="21">
      <c r="A43" s="196"/>
      <c r="B43" s="76" t="s">
        <v>83</v>
      </c>
      <c r="C43" s="77"/>
      <c r="D43" s="78"/>
      <c r="E43" s="79"/>
      <c r="F43" s="28" t="str">
        <f>IFERROR(C43/D43,"")</f>
        <v/>
      </c>
      <c r="G43" s="196"/>
      <c r="H43" s="76" t="s">
        <v>83</v>
      </c>
      <c r="I43" s="77"/>
      <c r="J43" s="78"/>
      <c r="K43" s="79"/>
      <c r="L43" s="28" t="str">
        <f>IFERROR(I43/J43,"")</f>
        <v/>
      </c>
      <c r="M43" s="194"/>
      <c r="N43" s="194"/>
      <c r="O43" s="39"/>
      <c r="P43" s="39"/>
    </row>
    <row r="44" spans="1:16" ht="21">
      <c r="A44" s="196"/>
      <c r="B44" s="80"/>
      <c r="C44" s="30"/>
      <c r="D44" s="31"/>
      <c r="E44" s="32"/>
      <c r="F44" s="33">
        <f>0.5*ABS(C44*D45-C45*D44+D44*E45-D45*E44+E44*C45-E45*C44)/F45</f>
        <v>0</v>
      </c>
      <c r="G44" s="196"/>
      <c r="H44" s="80"/>
      <c r="I44" s="30"/>
      <c r="J44" s="31"/>
      <c r="K44" s="32"/>
      <c r="L44" s="33">
        <f>0.5*ABS(I44*J45-I45*J44+J44*K45-J45*K44+K44*I45-K45*I44)/L45</f>
        <v>0</v>
      </c>
      <c r="M44" s="194"/>
      <c r="N44" s="194"/>
      <c r="O44" s="39"/>
      <c r="P44" s="39"/>
    </row>
    <row r="45" spans="1:16" ht="21">
      <c r="A45" s="197"/>
      <c r="B45" s="81"/>
      <c r="C45" s="35"/>
      <c r="D45" s="36"/>
      <c r="E45" s="37"/>
      <c r="F45" s="38">
        <f>0.5*ABS(0.674*0.712-0.218*0.326+0.218*0.08-0.14*0.712+0.14*0.326-0.674*0.08)</f>
        <v>0.15915000000000001</v>
      </c>
      <c r="G45" s="197"/>
      <c r="H45" s="81"/>
      <c r="I45" s="35"/>
      <c r="J45" s="36"/>
      <c r="K45" s="37"/>
      <c r="L45" s="38">
        <f>0.5*ABS(0.674*0.712-0.218*0.326+0.218*0.08-0.14*0.712+0.14*0.326-0.674*0.08)</f>
        <v>0.15915000000000001</v>
      </c>
      <c r="M45" s="194"/>
      <c r="N45" s="194"/>
      <c r="O45" s="39"/>
      <c r="P45" s="39"/>
    </row>
    <row r="46" spans="1:16" ht="21">
      <c r="A46" s="195">
        <f>A37+1</f>
        <v>6</v>
      </c>
      <c r="B46" s="4" t="s">
        <v>75</v>
      </c>
      <c r="C46" s="205"/>
      <c r="D46" s="205"/>
      <c r="E46" s="205"/>
      <c r="F46" s="206"/>
      <c r="G46" s="195">
        <f>G37+1</f>
        <v>16</v>
      </c>
      <c r="H46" s="4" t="s">
        <v>75</v>
      </c>
      <c r="I46" s="205"/>
      <c r="J46" s="205"/>
      <c r="K46" s="205"/>
      <c r="L46" s="206"/>
      <c r="M46" s="3"/>
      <c r="N46" s="3"/>
      <c r="O46" s="39"/>
      <c r="P46" s="39"/>
    </row>
    <row r="47" spans="1:16" ht="21" customHeight="1">
      <c r="A47" s="196"/>
      <c r="B47" s="198" t="s">
        <v>76</v>
      </c>
      <c r="C47" s="201" t="str">
        <f>IF(Statistics!$R$2,Statistics!$Q$2,"Use '5/13 points' sheet !")</f>
        <v>UHD 9 @ 1/9</v>
      </c>
      <c r="D47" s="202"/>
      <c r="E47" s="203"/>
      <c r="F47" s="6"/>
      <c r="G47" s="196"/>
      <c r="H47" s="198" t="s">
        <v>76</v>
      </c>
      <c r="I47" s="201" t="str">
        <f>IF(Statistics!$R$2,Statistics!$Q$2,"Use '5/13 points' sheet !")</f>
        <v>UHD 9 @ 1/9</v>
      </c>
      <c r="J47" s="202"/>
      <c r="K47" s="203"/>
      <c r="L47" s="6"/>
      <c r="M47" s="194" t="str">
        <f>IF(Statistics!$R$2,CONCATENATE(IF(O47="","要测试九个点和白墙亮度; ",IF(O47,,"工厂模式白屏亮度不够, 再一次确认下; ")),IF(O48="","要测试白黑屏亮度; ",IF(O48,,"工厂模式黑屏亮度太大, 再一次确认下; ")),IF(O49="","要测试九个点亮度; ",IF(O49,,"9个白点之间的亮度差异太高, 再一次确认下; ")),IF(O50="","要测试四个颜色; ",IF(O50,,"3个红绿蓝颜色不太对的, 再一次确认下")),IF(F48&gt;C52,"告诉Vova和工厂业务电视软件有大问题: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47" s="194" t="str">
        <f>IF(Statistics!$R$2,CONCATENATE(IF(P47="","要测试九个点和白墙亮度; ",IF(P47,,"工厂模式白屏亮度不够, 再一次确认下; ")),IF(P48="","要测试白黑屏亮度; ",IF(P48,,"工厂模式黑屏亮度太大, 再一次确认下; ")),IF(P49="","要测试九个点亮度; ",IF(P49,,"9个白点之间的亮度差异太高, 再一次确认下; ")),IF(P50="","要测试四个颜色; ",IF(P50,,"3个红绿蓝颜色不太对的, 再一次确认下")),IF(G48&gt;D52,"告诉Vova和工厂业务电视软件有大问题: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47" s="39" t="str">
        <f>IF(C52&lt;1,"",IF(F51&lt;Statistics!$G$2*(1-Statistics!$Q$1),FALSE,TRUE))</f>
        <v/>
      </c>
      <c r="P47" s="39" t="str">
        <f>IF(I52&lt;1,"",IF(L51&lt;Statistics!$G$2*(1-Statistics!$Q$1),FALSE,TRUE))</f>
        <v/>
      </c>
    </row>
    <row r="48" spans="1:16" ht="21">
      <c r="A48" s="196"/>
      <c r="B48" s="199"/>
      <c r="C48" s="17"/>
      <c r="D48" s="17"/>
      <c r="E48" s="17"/>
      <c r="F48" s="74">
        <f>MAX(C48:E50)</f>
        <v>0</v>
      </c>
      <c r="G48" s="196"/>
      <c r="H48" s="199"/>
      <c r="I48" s="17"/>
      <c r="J48" s="17"/>
      <c r="K48" s="17"/>
      <c r="L48" s="74">
        <f>MAX(I48:K50)</f>
        <v>0</v>
      </c>
      <c r="M48" s="194"/>
      <c r="N48" s="194"/>
      <c r="O48" s="39" t="str">
        <f>IF(D52=0,"",IF(F52&lt;Statistics!$G$5*(1-Statistics!$Q$1),FALSE,TRUE))</f>
        <v/>
      </c>
      <c r="P48" s="39" t="str">
        <f>IF(J52=0,"",IF(L52&lt;Statistics!$G$5*(1-Statistics!$Q$1),FALSE,TRUE))</f>
        <v/>
      </c>
    </row>
    <row r="49" spans="1:16" ht="21">
      <c r="A49" s="196"/>
      <c r="B49" s="199"/>
      <c r="C49" s="17"/>
      <c r="D49" s="17"/>
      <c r="E49" s="17"/>
      <c r="F49" s="74">
        <f>MIN(C48:E50)</f>
        <v>0</v>
      </c>
      <c r="G49" s="196"/>
      <c r="H49" s="199"/>
      <c r="I49" s="17"/>
      <c r="J49" s="17"/>
      <c r="K49" s="17"/>
      <c r="L49" s="74">
        <f>MIN(I48:K50)</f>
        <v>0</v>
      </c>
      <c r="M49" s="194"/>
      <c r="N49" s="194"/>
      <c r="O49" s="39" t="str">
        <f>IF(D49=0,"",IF(F50&lt;Statistics!$G$3*(1-Statistics!$Q$1),FALSE,TRUE))</f>
        <v/>
      </c>
      <c r="P49" s="39" t="str">
        <f>IF(J49=0,"",IF(L50&lt;Statistics!$G$3*(1-Statistics!$Q$1),FALSE,TRUE))</f>
        <v/>
      </c>
    </row>
    <row r="50" spans="1:16" ht="21">
      <c r="A50" s="196"/>
      <c r="B50" s="199"/>
      <c r="C50" s="17"/>
      <c r="D50" s="17"/>
      <c r="E50" s="17"/>
      <c r="F50" s="33" t="str">
        <f>IFERROR(F49/F48,"")</f>
        <v/>
      </c>
      <c r="G50" s="196"/>
      <c r="H50" s="199"/>
      <c r="I50" s="17"/>
      <c r="J50" s="17"/>
      <c r="K50" s="17"/>
      <c r="L50" s="33" t="str">
        <f>IFERROR(L49/L48,"")</f>
        <v/>
      </c>
      <c r="M50" s="194"/>
      <c r="N50" s="194"/>
      <c r="O50" s="39" t="str">
        <f>IF(C53&lt;0.1,"",IF(F53&lt;Statistics!$G$7*(1-2*Statistics!$Q$1),FALSE,TRUE))</f>
        <v/>
      </c>
      <c r="P50" s="39" t="str">
        <f>IF(I53&lt;0.1,"",IF(L53&lt;Statistics!$G$7*(1-2*Statistics!$Q$1),FALSE,TRUE))</f>
        <v/>
      </c>
    </row>
    <row r="51" spans="1:16" ht="21">
      <c r="A51" s="196"/>
      <c r="B51" s="200"/>
      <c r="C51" s="75" t="s">
        <v>81</v>
      </c>
      <c r="D51" s="204"/>
      <c r="E51" s="204"/>
      <c r="F51" s="28">
        <f>MAX(C48:E50,C52)</f>
        <v>0</v>
      </c>
      <c r="G51" s="196"/>
      <c r="H51" s="200"/>
      <c r="I51" s="75" t="s">
        <v>81</v>
      </c>
      <c r="J51" s="204"/>
      <c r="K51" s="204"/>
      <c r="L51" s="28">
        <f>MAX(I48:K50,I52)</f>
        <v>0</v>
      </c>
      <c r="M51" s="194"/>
      <c r="N51" s="194"/>
      <c r="O51" s="39"/>
      <c r="P51" s="39"/>
    </row>
    <row r="52" spans="1:16" ht="21">
      <c r="A52" s="196"/>
      <c r="B52" s="76" t="s">
        <v>83</v>
      </c>
      <c r="C52" s="77"/>
      <c r="D52" s="78"/>
      <c r="E52" s="79"/>
      <c r="F52" s="28" t="str">
        <f>IFERROR(C52/D52,"")</f>
        <v/>
      </c>
      <c r="G52" s="196"/>
      <c r="H52" s="76" t="s">
        <v>83</v>
      </c>
      <c r="I52" s="77"/>
      <c r="J52" s="78"/>
      <c r="K52" s="79"/>
      <c r="L52" s="28" t="str">
        <f>IFERROR(I52/J52,"")</f>
        <v/>
      </c>
      <c r="M52" s="194"/>
      <c r="N52" s="194"/>
      <c r="O52" s="39"/>
      <c r="P52" s="39"/>
    </row>
    <row r="53" spans="1:16" ht="21">
      <c r="A53" s="196"/>
      <c r="B53" s="80"/>
      <c r="C53" s="30"/>
      <c r="D53" s="31"/>
      <c r="E53" s="32"/>
      <c r="F53" s="33">
        <f>0.5*ABS(C53*D54-C54*D53+D53*E54-D54*E53+E53*C54-E54*C53)/F54</f>
        <v>0</v>
      </c>
      <c r="G53" s="196"/>
      <c r="H53" s="80"/>
      <c r="I53" s="30"/>
      <c r="J53" s="31"/>
      <c r="K53" s="32"/>
      <c r="L53" s="33">
        <f>0.5*ABS(I53*J54-I54*J53+J53*K54-J54*K53+K53*I54-K54*I53)/L54</f>
        <v>0</v>
      </c>
      <c r="M53" s="194"/>
      <c r="N53" s="194"/>
      <c r="O53" s="39"/>
      <c r="P53" s="39"/>
    </row>
    <row r="54" spans="1:16" ht="21">
      <c r="A54" s="197"/>
      <c r="B54" s="81"/>
      <c r="C54" s="35"/>
      <c r="D54" s="36"/>
      <c r="E54" s="37"/>
      <c r="F54" s="38">
        <f>0.5*ABS(0.674*0.712-0.218*0.326+0.218*0.08-0.14*0.712+0.14*0.326-0.674*0.08)</f>
        <v>0.15915000000000001</v>
      </c>
      <c r="G54" s="197"/>
      <c r="H54" s="81"/>
      <c r="I54" s="35"/>
      <c r="J54" s="36"/>
      <c r="K54" s="37"/>
      <c r="L54" s="38">
        <f>0.5*ABS(0.674*0.712-0.218*0.326+0.218*0.08-0.14*0.712+0.14*0.326-0.674*0.08)</f>
        <v>0.15915000000000001</v>
      </c>
      <c r="M54" s="194"/>
      <c r="N54" s="194"/>
      <c r="O54" s="39"/>
      <c r="P54" s="39"/>
    </row>
    <row r="55" spans="1:16" ht="21">
      <c r="A55" s="195">
        <f>A46+1</f>
        <v>7</v>
      </c>
      <c r="B55" s="4" t="s">
        <v>75</v>
      </c>
      <c r="C55" s="205"/>
      <c r="D55" s="205"/>
      <c r="E55" s="205"/>
      <c r="F55" s="206"/>
      <c r="G55" s="195">
        <f>G46+1</f>
        <v>17</v>
      </c>
      <c r="H55" s="4" t="s">
        <v>75</v>
      </c>
      <c r="I55" s="205"/>
      <c r="J55" s="205"/>
      <c r="K55" s="205"/>
      <c r="L55" s="206"/>
      <c r="M55" s="3"/>
      <c r="N55" s="3"/>
      <c r="O55" s="39"/>
      <c r="P55" s="39"/>
    </row>
    <row r="56" spans="1:16" ht="21" customHeight="1">
      <c r="A56" s="196"/>
      <c r="B56" s="198" t="s">
        <v>76</v>
      </c>
      <c r="C56" s="201" t="str">
        <f>IF(Statistics!$R$2,Statistics!$Q$2,"Use '5/13 points' sheet !")</f>
        <v>UHD 9 @ 1/9</v>
      </c>
      <c r="D56" s="202"/>
      <c r="E56" s="203"/>
      <c r="F56" s="6"/>
      <c r="G56" s="196"/>
      <c r="H56" s="198" t="s">
        <v>76</v>
      </c>
      <c r="I56" s="201" t="str">
        <f>IF(Statistics!$R$2,Statistics!$Q$2,"Use '5/13 points' sheet !")</f>
        <v>UHD 9 @ 1/9</v>
      </c>
      <c r="J56" s="202"/>
      <c r="K56" s="203"/>
      <c r="L56" s="6"/>
      <c r="M56" s="194" t="str">
        <f>IF(Statistics!$R$2,CONCATENATE(IF(O56="","要测试九个点和白墙亮度; ",IF(O56,,"工厂模式白屏亮度不够, 再一次确认下; ")),IF(O57="","要测试白黑屏亮度; ",IF(O57,,"工厂模式黑屏亮度太大, 再一次确认下; ")),IF(O58="","要测试九个点亮度; ",IF(O58,,"9个白点之间的亮度差异太高, 再一次确认下; ")),IF(O59="","要测试四个颜色; ",IF(O59,,"3个红绿蓝颜色不太对的, 再一次确认下")),IF(F57&gt;C61,"告诉Vova和工厂业务电视软件有大问题: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56" s="194" t="str">
        <f>IF(Statistics!$R$2,CONCATENATE(IF(P56="","要测试九个点和白墙亮度; ",IF(P56,,"工厂模式白屏亮度不够, 再一次确认下; ")),IF(P57="","要测试白黑屏亮度; ",IF(P57,,"工厂模式黑屏亮度太大, 再一次确认下; ")),IF(P58="","要测试九个点亮度; ",IF(P58,,"9个白点之间的亮度差异太高, 再一次确认下; ")),IF(P59="","要测试四个颜色; ",IF(P59,,"3个红绿蓝颜色不太对的, 再一次确认下")),IF(G57&gt;D61,"告诉Vova和工厂业务电视软件有大问题: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56" s="39" t="str">
        <f>IF(C61&lt;1,"",IF(F60&lt;Statistics!$G$2*(1-Statistics!$Q$1),FALSE,TRUE))</f>
        <v/>
      </c>
      <c r="P56" s="39" t="str">
        <f>IF(I61&lt;1,"",IF(L60&lt;Statistics!$G$2*(1-Statistics!$Q$1),FALSE,TRUE))</f>
        <v/>
      </c>
    </row>
    <row r="57" spans="1:16" ht="21">
      <c r="A57" s="196"/>
      <c r="B57" s="199"/>
      <c r="C57" s="17"/>
      <c r="D57" s="17"/>
      <c r="E57" s="17"/>
      <c r="F57" s="74">
        <f>MAX(C57:E59)</f>
        <v>0</v>
      </c>
      <c r="G57" s="196"/>
      <c r="H57" s="199"/>
      <c r="I57" s="17"/>
      <c r="J57" s="17"/>
      <c r="K57" s="17"/>
      <c r="L57" s="74">
        <f>MAX(I57:K59)</f>
        <v>0</v>
      </c>
      <c r="M57" s="194"/>
      <c r="N57" s="194"/>
      <c r="O57" s="39" t="str">
        <f>IF(D61=0,"",IF(F61&lt;Statistics!$G$5*(1-Statistics!$Q$1),FALSE,TRUE))</f>
        <v/>
      </c>
      <c r="P57" s="39" t="str">
        <f>IF(J61=0,"",IF(L61&lt;Statistics!$G$5*(1-Statistics!$Q$1),FALSE,TRUE))</f>
        <v/>
      </c>
    </row>
    <row r="58" spans="1:16" ht="21">
      <c r="A58" s="196"/>
      <c r="B58" s="199"/>
      <c r="C58" s="17"/>
      <c r="D58" s="17"/>
      <c r="E58" s="17"/>
      <c r="F58" s="74">
        <f>MIN(C57:E59)</f>
        <v>0</v>
      </c>
      <c r="G58" s="196"/>
      <c r="H58" s="199"/>
      <c r="I58" s="17"/>
      <c r="J58" s="17"/>
      <c r="K58" s="17"/>
      <c r="L58" s="74">
        <f>MIN(I57:K59)</f>
        <v>0</v>
      </c>
      <c r="M58" s="194"/>
      <c r="N58" s="194"/>
      <c r="O58" s="39" t="str">
        <f>IF(D58=0,"",IF(F59&lt;Statistics!$G$3*(1-Statistics!$Q$1),FALSE,TRUE))</f>
        <v/>
      </c>
      <c r="P58" s="39" t="str">
        <f>IF(J58=0,"",IF(L59&lt;Statistics!$G$3*(1-Statistics!$Q$1),FALSE,TRUE))</f>
        <v/>
      </c>
    </row>
    <row r="59" spans="1:16" ht="21">
      <c r="A59" s="196"/>
      <c r="B59" s="199"/>
      <c r="C59" s="17"/>
      <c r="D59" s="17"/>
      <c r="E59" s="17"/>
      <c r="F59" s="33" t="str">
        <f>IFERROR(F58/F57,"")</f>
        <v/>
      </c>
      <c r="G59" s="196"/>
      <c r="H59" s="199"/>
      <c r="I59" s="17"/>
      <c r="J59" s="17"/>
      <c r="K59" s="17"/>
      <c r="L59" s="33" t="str">
        <f>IFERROR(L58/L57,"")</f>
        <v/>
      </c>
      <c r="M59" s="194"/>
      <c r="N59" s="194"/>
      <c r="O59" s="39" t="str">
        <f>IF(C62&lt;0.1,"",IF(F62&lt;Statistics!$G$7*(1-2*Statistics!$Q$1),FALSE,TRUE))</f>
        <v/>
      </c>
      <c r="P59" s="39" t="str">
        <f>IF(I62&lt;0.1,"",IF(L62&lt;Statistics!$G$7*(1-2*Statistics!$Q$1),FALSE,TRUE))</f>
        <v/>
      </c>
    </row>
    <row r="60" spans="1:16" ht="21">
      <c r="A60" s="196"/>
      <c r="B60" s="200"/>
      <c r="C60" s="75" t="s">
        <v>81</v>
      </c>
      <c r="D60" s="204"/>
      <c r="E60" s="204"/>
      <c r="F60" s="28">
        <f>MAX(C57:E59,C61)</f>
        <v>0</v>
      </c>
      <c r="G60" s="196"/>
      <c r="H60" s="200"/>
      <c r="I60" s="75" t="s">
        <v>81</v>
      </c>
      <c r="J60" s="204"/>
      <c r="K60" s="204"/>
      <c r="L60" s="28">
        <f>MAX(I57:K59,I61)</f>
        <v>0</v>
      </c>
      <c r="M60" s="194"/>
      <c r="N60" s="194"/>
      <c r="O60" s="39"/>
      <c r="P60" s="39"/>
    </row>
    <row r="61" spans="1:16" ht="21">
      <c r="A61" s="196"/>
      <c r="B61" s="76" t="s">
        <v>83</v>
      </c>
      <c r="C61" s="77"/>
      <c r="D61" s="78"/>
      <c r="E61" s="79"/>
      <c r="F61" s="28" t="str">
        <f>IFERROR(C61/D61,"")</f>
        <v/>
      </c>
      <c r="G61" s="196"/>
      <c r="H61" s="76" t="s">
        <v>83</v>
      </c>
      <c r="I61" s="77"/>
      <c r="J61" s="78"/>
      <c r="K61" s="79"/>
      <c r="L61" s="28" t="str">
        <f>IFERROR(I61/J61,"")</f>
        <v/>
      </c>
      <c r="M61" s="194"/>
      <c r="N61" s="194"/>
      <c r="O61" s="39"/>
      <c r="P61" s="39"/>
    </row>
    <row r="62" spans="1:16" ht="21">
      <c r="A62" s="196"/>
      <c r="B62" s="80"/>
      <c r="C62" s="30"/>
      <c r="D62" s="31"/>
      <c r="E62" s="32"/>
      <c r="F62" s="33">
        <f>0.5*ABS(C62*D63-C63*D62+D62*E63-D63*E62+E62*C63-E63*C62)/F63</f>
        <v>0</v>
      </c>
      <c r="G62" s="196"/>
      <c r="H62" s="80"/>
      <c r="I62" s="30"/>
      <c r="J62" s="31"/>
      <c r="K62" s="32"/>
      <c r="L62" s="33">
        <f>0.5*ABS(I62*J63-I63*J62+J62*K63-J63*K62+K62*I63-K63*I62)/L63</f>
        <v>0</v>
      </c>
      <c r="M62" s="194"/>
      <c r="N62" s="194"/>
      <c r="O62" s="39"/>
      <c r="P62" s="39"/>
    </row>
    <row r="63" spans="1:16" ht="21">
      <c r="A63" s="197"/>
      <c r="B63" s="81"/>
      <c r="C63" s="35"/>
      <c r="D63" s="36"/>
      <c r="E63" s="37"/>
      <c r="F63" s="38">
        <f>0.5*ABS(0.674*0.712-0.218*0.326+0.218*0.08-0.14*0.712+0.14*0.326-0.674*0.08)</f>
        <v>0.15915000000000001</v>
      </c>
      <c r="G63" s="197"/>
      <c r="H63" s="81"/>
      <c r="I63" s="35"/>
      <c r="J63" s="36"/>
      <c r="K63" s="37"/>
      <c r="L63" s="38">
        <f>0.5*ABS(0.674*0.712-0.218*0.326+0.218*0.08-0.14*0.712+0.14*0.326-0.674*0.08)</f>
        <v>0.15915000000000001</v>
      </c>
      <c r="M63" s="194"/>
      <c r="N63" s="194"/>
      <c r="O63" s="39"/>
      <c r="P63" s="39"/>
    </row>
    <row r="64" spans="1:16" ht="21">
      <c r="A64" s="195">
        <f>A55+1</f>
        <v>8</v>
      </c>
      <c r="B64" s="4" t="s">
        <v>75</v>
      </c>
      <c r="C64" s="205"/>
      <c r="D64" s="205"/>
      <c r="E64" s="205"/>
      <c r="F64" s="206"/>
      <c r="G64" s="195">
        <f>G55+1</f>
        <v>18</v>
      </c>
      <c r="H64" s="4" t="s">
        <v>75</v>
      </c>
      <c r="I64" s="205"/>
      <c r="J64" s="205"/>
      <c r="K64" s="205"/>
      <c r="L64" s="206"/>
      <c r="M64" s="3"/>
      <c r="N64" s="3"/>
      <c r="O64" s="39"/>
      <c r="P64" s="39"/>
    </row>
    <row r="65" spans="1:16" ht="21" customHeight="1">
      <c r="A65" s="196"/>
      <c r="B65" s="198" t="s">
        <v>76</v>
      </c>
      <c r="C65" s="201" t="str">
        <f>IF(Statistics!$R$2,Statistics!$Q$2,"Use '5/13 points' sheet !")</f>
        <v>UHD 9 @ 1/9</v>
      </c>
      <c r="D65" s="202"/>
      <c r="E65" s="203"/>
      <c r="F65" s="6"/>
      <c r="G65" s="196"/>
      <c r="H65" s="198" t="s">
        <v>76</v>
      </c>
      <c r="I65" s="201" t="str">
        <f>IF(Statistics!$R$2,Statistics!$Q$2,"Use '5/13 points' sheet !")</f>
        <v>UHD 9 @ 1/9</v>
      </c>
      <c r="J65" s="202"/>
      <c r="K65" s="203"/>
      <c r="L65" s="6"/>
      <c r="M65" s="194" t="str">
        <f>IF(Statistics!$R$2,CONCATENATE(IF(O65="","要测试九个点和白墙亮度; ",IF(O65,,"工厂模式白屏亮度不够, 再一次确认下; ")),IF(O66="","要测试白黑屏亮度; ",IF(O66,,"工厂模式黑屏亮度太大, 再一次确认下; ")),IF(O67="","要测试九个点亮度; ",IF(O67,,"9个白点之间的亮度差异太高, 再一次确认下; ")),IF(O68="","要测试四个颜色; ",IF(O68,,"3个红绿蓝颜色不太对的, 再一次确认下")),IF(F66&gt;C70,"告诉Vova和工厂业务电视软件有大问题: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65" s="194" t="str">
        <f>IF(Statistics!$R$2,CONCATENATE(IF(P65="","要测试九个点和白墙亮度; ",IF(P65,,"工厂模式白屏亮度不够, 再一次确认下; ")),IF(P66="","要测试白黑屏亮度; ",IF(P66,,"工厂模式黑屏亮度太大, 再一次确认下; ")),IF(P67="","要测试九个点亮度; ",IF(P67,,"9个白点之间的亮度差异太高, 再一次确认下; ")),IF(P68="","要测试四个颜色; ",IF(P68,,"3个红绿蓝颜色不太对的, 再一次确认下")),IF(G66&gt;D70,"告诉Vova和工厂业务电视软件有大问题: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65" s="39" t="str">
        <f>IF(C70&lt;1,"",IF(F69&lt;Statistics!$G$2*(1-Statistics!$Q$1),FALSE,TRUE))</f>
        <v/>
      </c>
      <c r="P65" s="39" t="str">
        <f>IF(I70&lt;1,"",IF(L69&lt;Statistics!$G$2*(1-Statistics!$Q$1),FALSE,TRUE))</f>
        <v/>
      </c>
    </row>
    <row r="66" spans="1:16" ht="21">
      <c r="A66" s="196"/>
      <c r="B66" s="199"/>
      <c r="C66" s="17"/>
      <c r="D66" s="17"/>
      <c r="E66" s="17"/>
      <c r="F66" s="74">
        <f>MAX(C66:E68)</f>
        <v>0</v>
      </c>
      <c r="G66" s="196"/>
      <c r="H66" s="199"/>
      <c r="I66" s="17"/>
      <c r="J66" s="17"/>
      <c r="K66" s="17"/>
      <c r="L66" s="74">
        <f>MAX(I66:K68)</f>
        <v>0</v>
      </c>
      <c r="M66" s="194"/>
      <c r="N66" s="194"/>
      <c r="O66" s="39" t="str">
        <f>IF(D70=0,"",IF(F70&lt;Statistics!$G$5*(1-Statistics!$Q$1),FALSE,TRUE))</f>
        <v/>
      </c>
      <c r="P66" s="39" t="str">
        <f>IF(J70=0,"",IF(L70&lt;Statistics!$G$5*(1-Statistics!$Q$1),FALSE,TRUE))</f>
        <v/>
      </c>
    </row>
    <row r="67" spans="1:16" ht="21">
      <c r="A67" s="196"/>
      <c r="B67" s="199"/>
      <c r="C67" s="17"/>
      <c r="D67" s="17"/>
      <c r="E67" s="17"/>
      <c r="F67" s="74">
        <f>MIN(C66:E68)</f>
        <v>0</v>
      </c>
      <c r="G67" s="196"/>
      <c r="H67" s="199"/>
      <c r="I67" s="17"/>
      <c r="J67" s="17"/>
      <c r="K67" s="17"/>
      <c r="L67" s="74">
        <f>MIN(I66:K68)</f>
        <v>0</v>
      </c>
      <c r="M67" s="194"/>
      <c r="N67" s="194"/>
      <c r="O67" s="39" t="str">
        <f>IF(D67=0,"",IF(F68&lt;Statistics!$G$3*(1-Statistics!$Q$1),FALSE,TRUE))</f>
        <v/>
      </c>
      <c r="P67" s="39" t="str">
        <f>IF(J67=0,"",IF(L68&lt;Statistics!$G$3*(1-Statistics!$Q$1),FALSE,TRUE))</f>
        <v/>
      </c>
    </row>
    <row r="68" spans="1:16" ht="21">
      <c r="A68" s="196"/>
      <c r="B68" s="199"/>
      <c r="C68" s="17"/>
      <c r="D68" s="17"/>
      <c r="E68" s="17"/>
      <c r="F68" s="33" t="str">
        <f>IFERROR(F67/F66,"")</f>
        <v/>
      </c>
      <c r="G68" s="196"/>
      <c r="H68" s="199"/>
      <c r="I68" s="17"/>
      <c r="J68" s="17"/>
      <c r="K68" s="17"/>
      <c r="L68" s="33" t="str">
        <f>IFERROR(L67/L66,"")</f>
        <v/>
      </c>
      <c r="M68" s="194"/>
      <c r="N68" s="194"/>
      <c r="O68" s="39" t="str">
        <f>IF(C71&lt;0.1,"",IF(F71&lt;Statistics!$G$7*(1-2*Statistics!$Q$1),FALSE,TRUE))</f>
        <v/>
      </c>
      <c r="P68" s="39" t="str">
        <f>IF(I71&lt;0.1,"",IF(L71&lt;Statistics!$G$7*(1-2*Statistics!$Q$1),FALSE,TRUE))</f>
        <v/>
      </c>
    </row>
    <row r="69" spans="1:16" ht="21">
      <c r="A69" s="196"/>
      <c r="B69" s="200"/>
      <c r="C69" s="75" t="s">
        <v>81</v>
      </c>
      <c r="D69" s="204"/>
      <c r="E69" s="204"/>
      <c r="F69" s="28">
        <f>MAX(C66:E68,C70)</f>
        <v>0</v>
      </c>
      <c r="G69" s="196"/>
      <c r="H69" s="200"/>
      <c r="I69" s="75" t="s">
        <v>81</v>
      </c>
      <c r="J69" s="204"/>
      <c r="K69" s="204"/>
      <c r="L69" s="28">
        <f>MAX(I66:K68,I70)</f>
        <v>0</v>
      </c>
      <c r="M69" s="194"/>
      <c r="N69" s="194"/>
      <c r="O69" s="39"/>
      <c r="P69" s="39"/>
    </row>
    <row r="70" spans="1:16" ht="21">
      <c r="A70" s="196"/>
      <c r="B70" s="76" t="s">
        <v>83</v>
      </c>
      <c r="C70" s="77"/>
      <c r="D70" s="78"/>
      <c r="E70" s="79"/>
      <c r="F70" s="28" t="str">
        <f>IFERROR(C70/D70,"")</f>
        <v/>
      </c>
      <c r="G70" s="196"/>
      <c r="H70" s="76" t="s">
        <v>83</v>
      </c>
      <c r="I70" s="77"/>
      <c r="J70" s="78"/>
      <c r="K70" s="79"/>
      <c r="L70" s="28" t="str">
        <f>IFERROR(I70/J70,"")</f>
        <v/>
      </c>
      <c r="M70" s="194"/>
      <c r="N70" s="194"/>
      <c r="O70" s="39"/>
      <c r="P70" s="39"/>
    </row>
    <row r="71" spans="1:16" ht="21">
      <c r="A71" s="196"/>
      <c r="B71" s="80"/>
      <c r="C71" s="30"/>
      <c r="D71" s="31"/>
      <c r="E71" s="32"/>
      <c r="F71" s="33">
        <f>0.5*ABS(C71*D72-C72*D71+D71*E72-D72*E71+E71*C72-E72*C71)/F72</f>
        <v>0</v>
      </c>
      <c r="G71" s="196"/>
      <c r="H71" s="80"/>
      <c r="I71" s="30"/>
      <c r="J71" s="31"/>
      <c r="K71" s="32"/>
      <c r="L71" s="33">
        <f>0.5*ABS(I71*J72-I72*J71+J71*K72-J72*K71+K71*I72-K72*I71)/L72</f>
        <v>0</v>
      </c>
      <c r="M71" s="194"/>
      <c r="N71" s="194"/>
      <c r="O71" s="39"/>
      <c r="P71" s="39"/>
    </row>
    <row r="72" spans="1:16" ht="21">
      <c r="A72" s="197"/>
      <c r="B72" s="81"/>
      <c r="C72" s="35"/>
      <c r="D72" s="36"/>
      <c r="E72" s="37"/>
      <c r="F72" s="38">
        <f>0.5*ABS(0.674*0.712-0.218*0.326+0.218*0.08-0.14*0.712+0.14*0.326-0.674*0.08)</f>
        <v>0.15915000000000001</v>
      </c>
      <c r="G72" s="197"/>
      <c r="H72" s="81"/>
      <c r="I72" s="35"/>
      <c r="J72" s="36"/>
      <c r="K72" s="37"/>
      <c r="L72" s="38">
        <f>0.5*ABS(0.674*0.712-0.218*0.326+0.218*0.08-0.14*0.712+0.14*0.326-0.674*0.08)</f>
        <v>0.15915000000000001</v>
      </c>
      <c r="M72" s="194"/>
      <c r="N72" s="194"/>
      <c r="O72" s="39"/>
      <c r="P72" s="39"/>
    </row>
    <row r="73" spans="1:16" ht="21">
      <c r="A73" s="195">
        <f>A64+1</f>
        <v>9</v>
      </c>
      <c r="B73" s="4" t="s">
        <v>75</v>
      </c>
      <c r="C73" s="205"/>
      <c r="D73" s="205"/>
      <c r="E73" s="205"/>
      <c r="F73" s="206"/>
      <c r="G73" s="195">
        <f>G64+1</f>
        <v>19</v>
      </c>
      <c r="H73" s="4" t="s">
        <v>75</v>
      </c>
      <c r="I73" s="205"/>
      <c r="J73" s="205"/>
      <c r="K73" s="205"/>
      <c r="L73" s="206"/>
      <c r="M73" s="3"/>
      <c r="N73" s="3"/>
      <c r="O73" s="39"/>
      <c r="P73" s="39"/>
    </row>
    <row r="74" spans="1:16" ht="21" customHeight="1">
      <c r="A74" s="196"/>
      <c r="B74" s="198" t="s">
        <v>76</v>
      </c>
      <c r="C74" s="201" t="str">
        <f>IF(Statistics!$R$2,Statistics!$Q$2,"Use '5/13 points' sheet !")</f>
        <v>UHD 9 @ 1/9</v>
      </c>
      <c r="D74" s="202"/>
      <c r="E74" s="203"/>
      <c r="F74" s="6"/>
      <c r="G74" s="196"/>
      <c r="H74" s="198" t="s">
        <v>76</v>
      </c>
      <c r="I74" s="201" t="str">
        <f>IF(Statistics!$R$2,Statistics!$Q$2,"Use '5/13 points' sheet !")</f>
        <v>UHD 9 @ 1/9</v>
      </c>
      <c r="J74" s="202"/>
      <c r="K74" s="203"/>
      <c r="L74" s="6"/>
      <c r="M74" s="194" t="str">
        <f>IF(Statistics!$R$2,CONCATENATE(IF(O74="","要测试九个点和白墙亮度; ",IF(O74,,"工厂模式白屏亮度不够, 再一次确认下; ")),IF(O75="","要测试白黑屏亮度; ",IF(O75,,"工厂模式黑屏亮度太大, 再一次确认下; ")),IF(O76="","要测试九个点亮度; ",IF(O76,,"9个白点之间的亮度差异太高, 再一次确认下; ")),IF(O77="","要测试四个颜色; ",IF(O77,,"3个红绿蓝颜色不太对的, 再一次确认下")),IF(F75&gt;C79,"告诉Vova和工厂业务电视软件有大问题: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74" s="194" t="str">
        <f>IF(Statistics!$R$2,CONCATENATE(IF(P74="","要测试九个点和白墙亮度; ",IF(P74,,"工厂模式白屏亮度不够, 再一次确认下; ")),IF(P75="","要测试白黑屏亮度; ",IF(P75,,"工厂模式黑屏亮度太大, 再一次确认下; ")),IF(P76="","要测试九个点亮度; ",IF(P76,,"9个白点之间的亮度差异太高, 再一次确认下; ")),IF(P77="","要测试四个颜色; ",IF(P77,,"3个红绿蓝颜色不太对的, 再一次确认下")),IF(G75&gt;D79,"告诉Vova和工厂业务电视软件有大问题: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74" s="39" t="str">
        <f>IF(C79&lt;1,"",IF(F78&lt;Statistics!$G$2*(1-Statistics!$Q$1),FALSE,TRUE))</f>
        <v/>
      </c>
      <c r="P74" s="39" t="str">
        <f>IF(I79&lt;1,"",IF(L78&lt;Statistics!$G$2*(1-Statistics!$Q$1),FALSE,TRUE))</f>
        <v/>
      </c>
    </row>
    <row r="75" spans="1:16" ht="21">
      <c r="A75" s="196"/>
      <c r="B75" s="199"/>
      <c r="C75" s="17"/>
      <c r="D75" s="17"/>
      <c r="E75" s="17"/>
      <c r="F75" s="74">
        <f>MAX(C75:E77)</f>
        <v>0</v>
      </c>
      <c r="G75" s="196"/>
      <c r="H75" s="199"/>
      <c r="I75" s="17"/>
      <c r="J75" s="17"/>
      <c r="K75" s="17"/>
      <c r="L75" s="74">
        <f>MAX(I75:K77)</f>
        <v>0</v>
      </c>
      <c r="M75" s="194"/>
      <c r="N75" s="194"/>
      <c r="O75" s="39" t="str">
        <f>IF(D79=0,"",IF(F79&lt;Statistics!$G$5*(1-Statistics!$Q$1),FALSE,TRUE))</f>
        <v/>
      </c>
      <c r="P75" s="39" t="str">
        <f>IF(J79=0,"",IF(L79&lt;Statistics!$G$5*(1-Statistics!$Q$1),FALSE,TRUE))</f>
        <v/>
      </c>
    </row>
    <row r="76" spans="1:16" ht="21">
      <c r="A76" s="196"/>
      <c r="B76" s="199"/>
      <c r="C76" s="17"/>
      <c r="D76" s="17"/>
      <c r="E76" s="17"/>
      <c r="F76" s="74">
        <f>MIN(C75:E77)</f>
        <v>0</v>
      </c>
      <c r="G76" s="196"/>
      <c r="H76" s="199"/>
      <c r="I76" s="17"/>
      <c r="J76" s="17"/>
      <c r="K76" s="17"/>
      <c r="L76" s="74">
        <f>MIN(I75:K77)</f>
        <v>0</v>
      </c>
      <c r="M76" s="194"/>
      <c r="N76" s="194"/>
      <c r="O76" s="39" t="str">
        <f>IF(D76=0,"",IF(F77&lt;Statistics!$G$3*(1-Statistics!$Q$1),FALSE,TRUE))</f>
        <v/>
      </c>
      <c r="P76" s="39" t="str">
        <f>IF(J76=0,"",IF(L77&lt;Statistics!$G$3*(1-Statistics!$Q$1),FALSE,TRUE))</f>
        <v/>
      </c>
    </row>
    <row r="77" spans="1:16" ht="21">
      <c r="A77" s="196"/>
      <c r="B77" s="199"/>
      <c r="C77" s="17"/>
      <c r="D77" s="17"/>
      <c r="E77" s="17"/>
      <c r="F77" s="33" t="str">
        <f>IFERROR(F76/F75,"")</f>
        <v/>
      </c>
      <c r="G77" s="196"/>
      <c r="H77" s="199"/>
      <c r="I77" s="17"/>
      <c r="J77" s="17"/>
      <c r="K77" s="17"/>
      <c r="L77" s="33" t="str">
        <f>IFERROR(L76/L75,"")</f>
        <v/>
      </c>
      <c r="M77" s="194"/>
      <c r="N77" s="194"/>
      <c r="O77" s="39" t="str">
        <f>IF(C80&lt;0.1,"",IF(F80&lt;Statistics!$G$7*(1-2*Statistics!$Q$1),FALSE,TRUE))</f>
        <v/>
      </c>
      <c r="P77" s="39" t="str">
        <f>IF(I80&lt;0.1,"",IF(L80&lt;Statistics!$G$7*(1-2*Statistics!$Q$1),FALSE,TRUE))</f>
        <v/>
      </c>
    </row>
    <row r="78" spans="1:16" ht="21">
      <c r="A78" s="196"/>
      <c r="B78" s="200"/>
      <c r="C78" s="75" t="s">
        <v>81</v>
      </c>
      <c r="D78" s="204"/>
      <c r="E78" s="204"/>
      <c r="F78" s="28">
        <f>MAX(C75:E77,C79)</f>
        <v>0</v>
      </c>
      <c r="G78" s="196"/>
      <c r="H78" s="200"/>
      <c r="I78" s="75" t="s">
        <v>81</v>
      </c>
      <c r="J78" s="204"/>
      <c r="K78" s="204"/>
      <c r="L78" s="28">
        <f>MAX(I75:K77,I79)</f>
        <v>0</v>
      </c>
      <c r="M78" s="194"/>
      <c r="N78" s="194"/>
      <c r="O78" s="39"/>
      <c r="P78" s="39"/>
    </row>
    <row r="79" spans="1:16" ht="21">
      <c r="A79" s="196"/>
      <c r="B79" s="76" t="s">
        <v>83</v>
      </c>
      <c r="C79" s="77"/>
      <c r="D79" s="78"/>
      <c r="E79" s="79"/>
      <c r="F79" s="28" t="str">
        <f>IFERROR(C79/D79,"")</f>
        <v/>
      </c>
      <c r="G79" s="196"/>
      <c r="H79" s="76" t="s">
        <v>83</v>
      </c>
      <c r="I79" s="77"/>
      <c r="J79" s="78"/>
      <c r="K79" s="79"/>
      <c r="L79" s="28" t="str">
        <f>IFERROR(I79/J79,"")</f>
        <v/>
      </c>
      <c r="M79" s="194"/>
      <c r="N79" s="194"/>
      <c r="O79" s="39"/>
      <c r="P79" s="39"/>
    </row>
    <row r="80" spans="1:16" ht="21">
      <c r="A80" s="196"/>
      <c r="B80" s="80"/>
      <c r="C80" s="30"/>
      <c r="D80" s="31"/>
      <c r="E80" s="32"/>
      <c r="F80" s="33">
        <f>0.5*ABS(C80*D81-C81*D80+D80*E81-D81*E80+E80*C81-E81*C80)/F81</f>
        <v>0</v>
      </c>
      <c r="G80" s="196"/>
      <c r="H80" s="80"/>
      <c r="I80" s="30"/>
      <c r="J80" s="31"/>
      <c r="K80" s="32"/>
      <c r="L80" s="33">
        <f>0.5*ABS(I80*J81-I81*J80+J80*K81-J81*K80+K80*I81-K81*I80)/L81</f>
        <v>0</v>
      </c>
      <c r="M80" s="194"/>
      <c r="N80" s="194"/>
      <c r="O80" s="39"/>
      <c r="P80" s="39"/>
    </row>
    <row r="81" spans="1:16" ht="21">
      <c r="A81" s="197"/>
      <c r="B81" s="81"/>
      <c r="C81" s="35"/>
      <c r="D81" s="36"/>
      <c r="E81" s="37"/>
      <c r="F81" s="38">
        <f>0.5*ABS(0.674*0.712-0.218*0.326+0.218*0.08-0.14*0.712+0.14*0.326-0.674*0.08)</f>
        <v>0.15915000000000001</v>
      </c>
      <c r="G81" s="197"/>
      <c r="H81" s="81"/>
      <c r="I81" s="35"/>
      <c r="J81" s="36"/>
      <c r="K81" s="37"/>
      <c r="L81" s="38">
        <f>0.5*ABS(0.674*0.712-0.218*0.326+0.218*0.08-0.14*0.712+0.14*0.326-0.674*0.08)</f>
        <v>0.15915000000000001</v>
      </c>
      <c r="M81" s="194"/>
      <c r="N81" s="194"/>
      <c r="O81" s="39"/>
      <c r="P81" s="39"/>
    </row>
    <row r="82" spans="1:16" ht="21">
      <c r="A82" s="195">
        <f>A73+1</f>
        <v>10</v>
      </c>
      <c r="B82" s="4" t="s">
        <v>75</v>
      </c>
      <c r="C82" s="205"/>
      <c r="D82" s="205"/>
      <c r="E82" s="205"/>
      <c r="F82" s="206"/>
      <c r="G82" s="195">
        <f>G73+1</f>
        <v>20</v>
      </c>
      <c r="H82" s="4" t="s">
        <v>75</v>
      </c>
      <c r="I82" s="205"/>
      <c r="J82" s="205"/>
      <c r="K82" s="205"/>
      <c r="L82" s="206"/>
      <c r="M82" s="3"/>
      <c r="N82" s="3"/>
      <c r="O82" s="39"/>
      <c r="P82" s="39"/>
    </row>
    <row r="83" spans="1:16" ht="21" customHeight="1">
      <c r="A83" s="196"/>
      <c r="B83" s="198" t="s">
        <v>76</v>
      </c>
      <c r="C83" s="201" t="str">
        <f>IF(Statistics!$R$2,Statistics!$Q$2,"Use '5/13 points' sheet !")</f>
        <v>UHD 9 @ 1/9</v>
      </c>
      <c r="D83" s="202"/>
      <c r="E83" s="203"/>
      <c r="F83" s="6"/>
      <c r="G83" s="196"/>
      <c r="H83" s="198" t="s">
        <v>76</v>
      </c>
      <c r="I83" s="201" t="str">
        <f>IF(Statistics!$R$2,Statistics!$Q$2,"Use '5/13 points' sheet !")</f>
        <v>UHD 9 @ 1/9</v>
      </c>
      <c r="J83" s="202"/>
      <c r="K83" s="203"/>
      <c r="L83" s="6"/>
      <c r="M83" s="194" t="str">
        <f>IF(Statistics!$R$2,CONCATENATE(IF(O83="","要测试九个点和白墙亮度; ",IF(O83,,"工厂模式白屏亮度不够, 再一次确认下; ")),IF(O84="","要测试白黑屏亮度; ",IF(O84,,"工厂模式黑屏亮度太大, 再一次确认下; ")),IF(O85="","要测试九个点亮度; ",IF(O85,,"9个白点之间的亮度差异太高, 再一次确认下; ")),IF(O86="","要测试四个颜色; ",IF(O86,,"3个红绿蓝颜色不太对的, 再一次确认下")),IF(F84&gt;C88,"告诉Vova和工厂业务电视软件有大问题: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N83" s="194" t="str">
        <f>IF(Statistics!$R$2,CONCATENATE(IF(P83="","要测试九个点和白墙亮度; ",IF(P83,,"工厂模式白屏亮度不够, 再一次确认下; ")),IF(P84="","要测试白黑屏亮度; ",IF(P84,,"工厂模式黑屏亮度太大, 再一次确认下; ")),IF(P85="","要测试九个点亮度; ",IF(P85,,"9个白点之间的亮度差异太高, 再一次确认下; ")),IF(P86="","要测试四个颜色; ",IF(P86,,"3个红绿蓝颜色不太对的, 再一次确认下")),IF(G84&gt;D88,"告诉Vova和工厂业务电视软件有大问题: 客人模式亮度不应该比工厂模式亮度还高","")),"不可以用这一页, 需要打开下一页‘5_13 points’!")</f>
        <v xml:space="preserve">要测试九个点和白墙亮度; 要测试白黑屏亮度; 要测试九个点亮度; 要测试四个颜色; </v>
      </c>
      <c r="O83" s="39" t="str">
        <f>IF(C88&lt;1,"",IF(F87&lt;Statistics!$G$2*(1-Statistics!$Q$1),FALSE,TRUE))</f>
        <v/>
      </c>
      <c r="P83" s="39" t="str">
        <f>IF(I88&lt;1,"",IF(L87&lt;Statistics!$G$2*(1-Statistics!$Q$1),FALSE,TRUE))</f>
        <v/>
      </c>
    </row>
    <row r="84" spans="1:16" ht="21">
      <c r="A84" s="196"/>
      <c r="B84" s="199"/>
      <c r="C84" s="17"/>
      <c r="D84" s="17"/>
      <c r="E84" s="17"/>
      <c r="F84" s="74">
        <f>MAX(C84:E86)</f>
        <v>0</v>
      </c>
      <c r="G84" s="196"/>
      <c r="H84" s="199"/>
      <c r="I84" s="17"/>
      <c r="J84" s="17"/>
      <c r="K84" s="17"/>
      <c r="L84" s="74">
        <f>MAX(I84:K86)</f>
        <v>0</v>
      </c>
      <c r="M84" s="194"/>
      <c r="N84" s="194"/>
      <c r="O84" s="39" t="str">
        <f>IF(D88=0,"",IF(F88&lt;Statistics!$G$5*(1-Statistics!$Q$1),FALSE,TRUE))</f>
        <v/>
      </c>
      <c r="P84" s="39" t="str">
        <f>IF(J88=0,"",IF(L88&lt;Statistics!$G$5*(1-Statistics!$Q$1),FALSE,TRUE))</f>
        <v/>
      </c>
    </row>
    <row r="85" spans="1:16" ht="21">
      <c r="A85" s="196"/>
      <c r="B85" s="199"/>
      <c r="C85" s="17"/>
      <c r="D85" s="17"/>
      <c r="E85" s="17"/>
      <c r="F85" s="74">
        <f>MIN(C84:E86)</f>
        <v>0</v>
      </c>
      <c r="G85" s="196"/>
      <c r="H85" s="199"/>
      <c r="I85" s="17"/>
      <c r="J85" s="17"/>
      <c r="K85" s="17"/>
      <c r="L85" s="74">
        <f>MIN(I84:K86)</f>
        <v>0</v>
      </c>
      <c r="M85" s="194"/>
      <c r="N85" s="194"/>
      <c r="O85" s="39" t="str">
        <f>IF(D85=0,"",IF(F86&lt;Statistics!$G$3*(1-Statistics!$Q$1),FALSE,TRUE))</f>
        <v/>
      </c>
      <c r="P85" s="39" t="str">
        <f>IF(J85=0,"",IF(L86&lt;Statistics!$G$3*(1-Statistics!$Q$1),FALSE,TRUE))</f>
        <v/>
      </c>
    </row>
    <row r="86" spans="1:16" ht="21">
      <c r="A86" s="196"/>
      <c r="B86" s="199"/>
      <c r="C86" s="17"/>
      <c r="D86" s="17"/>
      <c r="E86" s="17"/>
      <c r="F86" s="33" t="str">
        <f>IFERROR(F85/F84,"")</f>
        <v/>
      </c>
      <c r="G86" s="196"/>
      <c r="H86" s="199"/>
      <c r="I86" s="17"/>
      <c r="J86" s="17"/>
      <c r="K86" s="17"/>
      <c r="L86" s="33" t="str">
        <f>IFERROR(L85/L84,"")</f>
        <v/>
      </c>
      <c r="M86" s="194"/>
      <c r="N86" s="194"/>
      <c r="O86" s="39" t="str">
        <f>IF(C89&lt;0.1,"",IF(F89&lt;Statistics!$G$7*(1-2*Statistics!$Q$1),FALSE,TRUE))</f>
        <v/>
      </c>
      <c r="P86" s="39" t="str">
        <f>IF(I89&lt;0.1,"",IF(L89&lt;Statistics!$G$7*(1-2*Statistics!$Q$1),FALSE,TRUE))</f>
        <v/>
      </c>
    </row>
    <row r="87" spans="1:16" ht="21">
      <c r="A87" s="196"/>
      <c r="B87" s="200"/>
      <c r="C87" s="75" t="s">
        <v>81</v>
      </c>
      <c r="D87" s="204"/>
      <c r="E87" s="204"/>
      <c r="F87" s="28">
        <f>MAX(C84:E86,C88)</f>
        <v>0</v>
      </c>
      <c r="G87" s="196"/>
      <c r="H87" s="200"/>
      <c r="I87" s="75" t="s">
        <v>81</v>
      </c>
      <c r="J87" s="204"/>
      <c r="K87" s="204"/>
      <c r="L87" s="28">
        <f>MAX(I84:K86,I88)</f>
        <v>0</v>
      </c>
      <c r="M87" s="194"/>
      <c r="N87" s="194"/>
      <c r="O87" s="39"/>
      <c r="P87" s="39"/>
    </row>
    <row r="88" spans="1:16" ht="21">
      <c r="A88" s="196"/>
      <c r="B88" s="76" t="s">
        <v>83</v>
      </c>
      <c r="C88" s="77"/>
      <c r="D88" s="78"/>
      <c r="E88" s="79"/>
      <c r="F88" s="28" t="str">
        <f>IFERROR(C88/D88,"")</f>
        <v/>
      </c>
      <c r="G88" s="196"/>
      <c r="H88" s="76" t="s">
        <v>83</v>
      </c>
      <c r="I88" s="77"/>
      <c r="J88" s="78"/>
      <c r="K88" s="79"/>
      <c r="L88" s="28" t="str">
        <f>IFERROR(I88/J88,"")</f>
        <v/>
      </c>
      <c r="M88" s="194"/>
      <c r="N88" s="194"/>
      <c r="O88" s="39"/>
      <c r="P88" s="39"/>
    </row>
    <row r="89" spans="1:16" ht="21">
      <c r="A89" s="196"/>
      <c r="B89" s="80"/>
      <c r="C89" s="30"/>
      <c r="D89" s="31"/>
      <c r="E89" s="32"/>
      <c r="F89" s="33">
        <f>0.5*ABS(C89*D90-C90*D89+D89*E90-D90*E89+E89*C90-E90*C89)/F90</f>
        <v>0</v>
      </c>
      <c r="G89" s="196"/>
      <c r="H89" s="80"/>
      <c r="I89" s="30"/>
      <c r="J89" s="31"/>
      <c r="K89" s="32"/>
      <c r="L89" s="33">
        <f>0.5*ABS(I89*J90-I90*J89+J89*K90-J90*K89+K89*I90-K90*I89)/L90</f>
        <v>0</v>
      </c>
      <c r="M89" s="194"/>
      <c r="N89" s="194"/>
      <c r="O89" s="39"/>
      <c r="P89" s="39"/>
    </row>
    <row r="90" spans="1:16" ht="21">
      <c r="A90" s="197"/>
      <c r="B90" s="81"/>
      <c r="C90" s="35"/>
      <c r="D90" s="36"/>
      <c r="E90" s="37"/>
      <c r="F90" s="38">
        <f>0.5*ABS(0.674*0.712-0.218*0.326+0.218*0.08-0.14*0.712+0.14*0.326-0.674*0.08)</f>
        <v>0.15915000000000001</v>
      </c>
      <c r="G90" s="197"/>
      <c r="H90" s="81"/>
      <c r="I90" s="35"/>
      <c r="J90" s="36"/>
      <c r="K90" s="37"/>
      <c r="L90" s="38">
        <f>0.5*ABS(0.674*0.712-0.218*0.326+0.218*0.08-0.14*0.712+0.14*0.326-0.674*0.08)</f>
        <v>0.15915000000000001</v>
      </c>
      <c r="M90" s="194"/>
      <c r="N90" s="194"/>
      <c r="O90" s="39"/>
      <c r="P90" s="39"/>
    </row>
    <row r="91" spans="1:16">
      <c r="M91" s="3"/>
      <c r="N91" s="3"/>
      <c r="O91" s="39"/>
      <c r="P91" s="39"/>
    </row>
    <row r="92" spans="1:16">
      <c r="M92" s="3"/>
      <c r="N92" s="3"/>
      <c r="O92" s="39"/>
      <c r="P92" s="39"/>
    </row>
    <row r="93" spans="1:16">
      <c r="M93" s="3"/>
      <c r="N93" s="3"/>
      <c r="O93" s="39"/>
      <c r="P93" s="39"/>
    </row>
    <row r="94" spans="1:16">
      <c r="M94" s="3"/>
      <c r="N94" s="3"/>
      <c r="O94" s="39"/>
      <c r="P94" s="39"/>
    </row>
    <row r="95" spans="1:16">
      <c r="M95" s="3"/>
      <c r="N95" s="3"/>
      <c r="O95" s="39"/>
      <c r="P95" s="39"/>
    </row>
    <row r="96" spans="1:16">
      <c r="M96" s="3"/>
      <c r="N96" s="3"/>
      <c r="O96" s="39"/>
      <c r="P96" s="39"/>
    </row>
    <row r="97" spans="13:16">
      <c r="M97" s="3"/>
      <c r="N97" s="3"/>
      <c r="O97" s="39"/>
      <c r="P97" s="39"/>
    </row>
    <row r="98" spans="13:16">
      <c r="M98" s="3"/>
      <c r="N98" s="3"/>
      <c r="O98" s="39"/>
      <c r="P98" s="39"/>
    </row>
    <row r="99" spans="13:16">
      <c r="M99" s="3"/>
      <c r="N99" s="3"/>
      <c r="O99" s="39"/>
      <c r="P99" s="39"/>
    </row>
    <row r="100" spans="13:16">
      <c r="M100" s="3"/>
      <c r="N100" s="3"/>
      <c r="O100" s="39"/>
      <c r="P100" s="39"/>
    </row>
    <row r="101" spans="13:16">
      <c r="M101" s="3"/>
      <c r="N101" s="3"/>
      <c r="O101" s="39"/>
      <c r="P101" s="39"/>
    </row>
    <row r="102" spans="13:16">
      <c r="M102" s="3"/>
      <c r="N102" s="3"/>
      <c r="O102" s="39"/>
      <c r="P102" s="39"/>
    </row>
    <row r="103" spans="13:16">
      <c r="M103" s="3"/>
      <c r="N103" s="3"/>
      <c r="O103" s="39"/>
      <c r="P103" s="39"/>
    </row>
    <row r="104" spans="13:16">
      <c r="M104" s="3"/>
      <c r="N104" s="3"/>
      <c r="O104" s="39"/>
      <c r="P104" s="39"/>
    </row>
    <row r="105" spans="13:16">
      <c r="M105" s="3"/>
      <c r="N105" s="3"/>
      <c r="O105" s="39"/>
      <c r="P105" s="39"/>
    </row>
    <row r="106" spans="13:16">
      <c r="M106" s="3"/>
      <c r="N106" s="3"/>
      <c r="O106" s="39"/>
      <c r="P106" s="39"/>
    </row>
    <row r="107" spans="13:16">
      <c r="M107" s="3"/>
      <c r="N107" s="3"/>
      <c r="O107" s="39"/>
      <c r="P107" s="39"/>
    </row>
    <row r="108" spans="13:16">
      <c r="M108" s="3"/>
      <c r="N108" s="3"/>
      <c r="O108" s="39"/>
      <c r="P108" s="39"/>
    </row>
    <row r="109" spans="13:16">
      <c r="M109" s="3"/>
      <c r="N109" s="3"/>
      <c r="O109" s="39"/>
      <c r="P109" s="39"/>
    </row>
    <row r="110" spans="13:16">
      <c r="M110" s="3"/>
      <c r="N110" s="3"/>
      <c r="O110" s="39"/>
      <c r="P110" s="39"/>
    </row>
    <row r="111" spans="13:16">
      <c r="M111" s="3"/>
      <c r="N111" s="3"/>
      <c r="O111" s="39"/>
      <c r="P111" s="39"/>
    </row>
    <row r="112" spans="13:16">
      <c r="M112" s="3"/>
      <c r="N112" s="3"/>
      <c r="O112" s="39"/>
      <c r="P112" s="39"/>
    </row>
    <row r="113" spans="13:16">
      <c r="M113" s="3"/>
      <c r="N113" s="3"/>
      <c r="O113" s="39"/>
      <c r="P113" s="39"/>
    </row>
    <row r="114" spans="13:16">
      <c r="M114" s="3"/>
      <c r="N114" s="3"/>
      <c r="O114" s="39"/>
      <c r="P114" s="39"/>
    </row>
    <row r="115" spans="13:16">
      <c r="M115" s="3"/>
      <c r="N115" s="3"/>
      <c r="O115" s="39"/>
      <c r="P115" s="39"/>
    </row>
    <row r="116" spans="13:16">
      <c r="M116" s="3"/>
      <c r="N116" s="3"/>
      <c r="O116" s="39"/>
      <c r="P116" s="39"/>
    </row>
    <row r="117" spans="13:16">
      <c r="M117" s="3"/>
      <c r="N117" s="3"/>
      <c r="O117" s="39"/>
      <c r="P117" s="39"/>
    </row>
    <row r="118" spans="13:16">
      <c r="M118" s="3"/>
      <c r="N118" s="3"/>
      <c r="O118" s="39"/>
      <c r="P118" s="39"/>
    </row>
    <row r="119" spans="13:16">
      <c r="M119" s="3"/>
      <c r="N119" s="3"/>
      <c r="O119" s="39"/>
      <c r="P119" s="39"/>
    </row>
    <row r="120" spans="13:16">
      <c r="M120" s="3"/>
      <c r="N120" s="3"/>
      <c r="O120" s="39"/>
      <c r="P120" s="39"/>
    </row>
    <row r="121" spans="13:16">
      <c r="M121" s="3"/>
      <c r="N121" s="3"/>
      <c r="O121" s="39"/>
      <c r="P121" s="39"/>
    </row>
    <row r="122" spans="13:16">
      <c r="M122" s="3"/>
      <c r="N122" s="3"/>
      <c r="O122" s="39"/>
      <c r="P122" s="39"/>
    </row>
    <row r="123" spans="13:16">
      <c r="M123" s="3"/>
      <c r="N123" s="3"/>
      <c r="O123" s="39"/>
      <c r="P123" s="39"/>
    </row>
    <row r="124" spans="13:16">
      <c r="M124" s="3"/>
      <c r="N124" s="3"/>
      <c r="O124" s="39"/>
      <c r="P124" s="39"/>
    </row>
    <row r="125" spans="13:16">
      <c r="M125" s="3"/>
      <c r="N125" s="3"/>
      <c r="O125" s="39"/>
      <c r="P125" s="39"/>
    </row>
    <row r="126" spans="13:16">
      <c r="M126" s="3"/>
      <c r="N126" s="3"/>
      <c r="O126" s="39"/>
      <c r="P126" s="39"/>
    </row>
    <row r="127" spans="13:16">
      <c r="M127" s="3"/>
      <c r="N127" s="3"/>
      <c r="O127" s="39"/>
      <c r="P127" s="39"/>
    </row>
    <row r="128" spans="13:16">
      <c r="M128" s="3"/>
      <c r="N128" s="3"/>
      <c r="O128" s="39"/>
      <c r="P128" s="39"/>
    </row>
    <row r="129" spans="13:16">
      <c r="M129" s="3"/>
      <c r="N129" s="3"/>
      <c r="O129" s="39"/>
      <c r="P129" s="39"/>
    </row>
    <row r="130" spans="13:16">
      <c r="M130" s="3"/>
      <c r="N130" s="3"/>
      <c r="O130" s="39"/>
      <c r="P130" s="39"/>
    </row>
    <row r="131" spans="13:16">
      <c r="M131" s="3"/>
      <c r="N131" s="3"/>
      <c r="O131" s="39"/>
      <c r="P131" s="39"/>
    </row>
    <row r="132" spans="13:16">
      <c r="M132" s="3"/>
      <c r="N132" s="3"/>
      <c r="O132" s="39"/>
      <c r="P132" s="39"/>
    </row>
    <row r="133" spans="13:16">
      <c r="M133" s="3"/>
      <c r="N133" s="3"/>
      <c r="O133" s="39"/>
      <c r="P133" s="39"/>
    </row>
    <row r="134" spans="13:16">
      <c r="M134" s="3"/>
      <c r="N134" s="3"/>
      <c r="O134" s="39"/>
      <c r="P134" s="39"/>
    </row>
    <row r="135" spans="13:16">
      <c r="M135" s="3"/>
      <c r="N135" s="3"/>
      <c r="O135" s="39"/>
      <c r="P135" s="39"/>
    </row>
    <row r="136" spans="13:16">
      <c r="M136" s="3"/>
      <c r="N136" s="3"/>
      <c r="O136" s="39"/>
      <c r="P136" s="39"/>
    </row>
    <row r="137" spans="13:16">
      <c r="M137" s="3"/>
      <c r="N137" s="3"/>
      <c r="O137" s="39"/>
      <c r="P137" s="39"/>
    </row>
    <row r="138" spans="13:16">
      <c r="M138" s="3"/>
      <c r="N138" s="3"/>
      <c r="O138" s="39"/>
      <c r="P138" s="39"/>
    </row>
    <row r="139" spans="13:16">
      <c r="M139" s="3"/>
      <c r="N139" s="3"/>
      <c r="O139" s="39"/>
      <c r="P139" s="39"/>
    </row>
    <row r="140" spans="13:16">
      <c r="M140" s="3"/>
      <c r="N140" s="3"/>
      <c r="O140" s="39"/>
      <c r="P140" s="39"/>
    </row>
    <row r="141" spans="13:16">
      <c r="M141" s="3"/>
      <c r="N141" s="3"/>
      <c r="O141" s="39"/>
      <c r="P141" s="39"/>
    </row>
    <row r="142" spans="13:16">
      <c r="M142" s="3"/>
      <c r="N142" s="3"/>
      <c r="O142" s="39"/>
      <c r="P142" s="39"/>
    </row>
    <row r="143" spans="13:16">
      <c r="M143" s="3"/>
      <c r="N143" s="3"/>
      <c r="O143" s="39"/>
      <c r="P143" s="39"/>
    </row>
    <row r="144" spans="13:16">
      <c r="M144" s="3"/>
      <c r="N144" s="3"/>
      <c r="O144" s="39"/>
      <c r="P144" s="39"/>
    </row>
    <row r="145" spans="13:16">
      <c r="M145" s="3"/>
      <c r="N145" s="3"/>
      <c r="O145" s="39"/>
      <c r="P145" s="39"/>
    </row>
    <row r="146" spans="13:16">
      <c r="M146" s="3"/>
      <c r="N146" s="3"/>
      <c r="O146" s="39"/>
      <c r="P146" s="39"/>
    </row>
    <row r="147" spans="13:16">
      <c r="M147" s="3"/>
      <c r="N147" s="3"/>
      <c r="O147" s="39"/>
      <c r="P147" s="39"/>
    </row>
    <row r="148" spans="13:16">
      <c r="M148" s="3"/>
      <c r="N148" s="3"/>
      <c r="O148" s="39"/>
      <c r="P148" s="39"/>
    </row>
    <row r="149" spans="13:16">
      <c r="M149" s="3"/>
      <c r="N149" s="3"/>
      <c r="O149" s="39"/>
      <c r="P149" s="39"/>
    </row>
    <row r="150" spans="13:16">
      <c r="M150" s="3"/>
      <c r="N150" s="3"/>
      <c r="O150" s="39"/>
      <c r="P150" s="39"/>
    </row>
    <row r="151" spans="13:16">
      <c r="M151" s="3"/>
      <c r="N151" s="3"/>
      <c r="O151" s="39"/>
      <c r="P151" s="39"/>
    </row>
    <row r="152" spans="13:16">
      <c r="M152" s="3"/>
      <c r="N152" s="3"/>
      <c r="O152" s="39"/>
      <c r="P152" s="39"/>
    </row>
    <row r="153" spans="13:16">
      <c r="M153" s="3"/>
      <c r="N153" s="3"/>
      <c r="O153" s="39"/>
      <c r="P153" s="39"/>
    </row>
    <row r="154" spans="13:16">
      <c r="M154" s="3"/>
      <c r="N154" s="3"/>
      <c r="O154" s="39"/>
      <c r="P154" s="39"/>
    </row>
    <row r="155" spans="13:16">
      <c r="M155" s="3"/>
      <c r="N155" s="3"/>
      <c r="O155" s="39"/>
      <c r="P155" s="39"/>
    </row>
    <row r="156" spans="13:16">
      <c r="M156" s="3"/>
      <c r="N156" s="3"/>
      <c r="O156" s="39"/>
      <c r="P156" s="39"/>
    </row>
    <row r="157" spans="13:16">
      <c r="M157" s="3"/>
      <c r="N157" s="3"/>
      <c r="O157" s="39"/>
      <c r="P157" s="39"/>
    </row>
    <row r="158" spans="13:16">
      <c r="M158" s="3"/>
      <c r="N158" s="3"/>
      <c r="O158" s="39"/>
      <c r="P158" s="39"/>
    </row>
    <row r="159" spans="13:16">
      <c r="M159" s="3"/>
      <c r="N159" s="3"/>
      <c r="O159" s="39"/>
      <c r="P159" s="39"/>
    </row>
    <row r="160" spans="13:16">
      <c r="M160" s="3"/>
      <c r="N160" s="3"/>
      <c r="O160" s="39"/>
      <c r="P160" s="39"/>
    </row>
    <row r="161" spans="13:16">
      <c r="M161" s="3"/>
      <c r="N161" s="3"/>
      <c r="O161" s="39"/>
      <c r="P161" s="39"/>
    </row>
    <row r="162" spans="13:16">
      <c r="M162" s="3"/>
      <c r="N162" s="3"/>
      <c r="O162" s="39"/>
      <c r="P162" s="39"/>
    </row>
    <row r="163" spans="13:16">
      <c r="M163" s="3"/>
      <c r="N163" s="3"/>
      <c r="O163" s="39"/>
      <c r="P163" s="39"/>
    </row>
    <row r="164" spans="13:16">
      <c r="M164" s="3"/>
      <c r="N164" s="3"/>
      <c r="O164" s="39"/>
      <c r="P164" s="39"/>
    </row>
    <row r="165" spans="13:16">
      <c r="M165" s="3"/>
      <c r="N165" s="3"/>
      <c r="O165" s="39"/>
      <c r="P165" s="39"/>
    </row>
    <row r="166" spans="13:16">
      <c r="M166" s="3"/>
      <c r="N166" s="3"/>
      <c r="O166" s="39"/>
      <c r="P166" s="39"/>
    </row>
    <row r="167" spans="13:16">
      <c r="M167" s="3"/>
      <c r="N167" s="3"/>
      <c r="O167" s="39"/>
      <c r="P167" s="39"/>
    </row>
    <row r="168" spans="13:16">
      <c r="M168" s="3"/>
      <c r="N168" s="3"/>
      <c r="O168" s="39"/>
      <c r="P168" s="39"/>
    </row>
    <row r="169" spans="13:16">
      <c r="M169" s="3"/>
      <c r="N169" s="3"/>
      <c r="O169" s="39"/>
      <c r="P169" s="39"/>
    </row>
    <row r="170" spans="13:16">
      <c r="M170" s="3"/>
      <c r="N170" s="3"/>
      <c r="O170" s="39"/>
      <c r="P170" s="39"/>
    </row>
    <row r="171" spans="13:16">
      <c r="M171" s="3"/>
      <c r="N171" s="3"/>
      <c r="O171" s="39"/>
      <c r="P171" s="39"/>
    </row>
    <row r="172" spans="13:16">
      <c r="M172" s="3"/>
      <c r="N172" s="3"/>
      <c r="O172" s="39"/>
      <c r="P172" s="39"/>
    </row>
    <row r="173" spans="13:16">
      <c r="M173" s="3"/>
      <c r="N173" s="3"/>
      <c r="O173" s="39"/>
      <c r="P173" s="39"/>
    </row>
    <row r="174" spans="13:16">
      <c r="M174" s="3"/>
      <c r="N174" s="3"/>
      <c r="O174" s="39"/>
      <c r="P174" s="39"/>
    </row>
    <row r="175" spans="13:16">
      <c r="M175" s="3"/>
      <c r="N175" s="3"/>
      <c r="O175" s="39"/>
      <c r="P175" s="39"/>
    </row>
    <row r="176" spans="13:16">
      <c r="M176" s="3"/>
      <c r="N176" s="3"/>
      <c r="O176" s="39"/>
      <c r="P176" s="39"/>
    </row>
    <row r="177" spans="13:16">
      <c r="M177" s="3"/>
      <c r="N177" s="3"/>
      <c r="O177" s="39"/>
      <c r="P177" s="39"/>
    </row>
    <row r="178" spans="13:16">
      <c r="M178" s="3"/>
      <c r="N178" s="3"/>
      <c r="O178" s="39"/>
      <c r="P178" s="39"/>
    </row>
    <row r="179" spans="13:16">
      <c r="M179" s="3"/>
      <c r="N179" s="3"/>
      <c r="O179" s="39"/>
      <c r="P179" s="39"/>
    </row>
    <row r="180" spans="13:16">
      <c r="M180" s="3"/>
      <c r="N180" s="3"/>
      <c r="O180" s="39"/>
      <c r="P180" s="39"/>
    </row>
    <row r="181" spans="13:16">
      <c r="M181" s="3"/>
      <c r="N181" s="3"/>
      <c r="O181" s="39"/>
      <c r="P181" s="39"/>
    </row>
    <row r="182" spans="13:16">
      <c r="M182" s="3"/>
      <c r="N182" s="3"/>
      <c r="O182" s="39"/>
      <c r="P182" s="39"/>
    </row>
    <row r="183" spans="13:16">
      <c r="M183" s="3"/>
      <c r="N183" s="3"/>
      <c r="O183" s="39"/>
      <c r="P183" s="39"/>
    </row>
    <row r="184" spans="13:16">
      <c r="M184" s="3"/>
      <c r="N184" s="3"/>
      <c r="O184" s="39"/>
      <c r="P184" s="39"/>
    </row>
    <row r="185" spans="13:16">
      <c r="M185" s="3"/>
      <c r="N185" s="3"/>
      <c r="O185" s="39"/>
      <c r="P185" s="39"/>
    </row>
    <row r="186" spans="13:16">
      <c r="M186" s="3"/>
      <c r="N186" s="3"/>
      <c r="O186" s="39"/>
      <c r="P186" s="39"/>
    </row>
    <row r="187" spans="13:16">
      <c r="M187" s="3"/>
      <c r="N187" s="3"/>
      <c r="O187" s="39"/>
      <c r="P187" s="39"/>
    </row>
    <row r="188" spans="13:16">
      <c r="M188" s="3"/>
      <c r="N188" s="3"/>
      <c r="O188" s="39"/>
      <c r="P188" s="39"/>
    </row>
    <row r="189" spans="13:16">
      <c r="M189" s="3"/>
      <c r="N189" s="3"/>
      <c r="O189" s="39"/>
      <c r="P189" s="39"/>
    </row>
  </sheetData>
  <sheetProtection sheet="1" objects="1" scenarios="1" selectLockedCells="1"/>
  <mergeCells count="120">
    <mergeCell ref="C1:F1"/>
    <mergeCell ref="I1:L1"/>
    <mergeCell ref="C2:E2"/>
    <mergeCell ref="I2:K2"/>
    <mergeCell ref="D6:E6"/>
    <mergeCell ref="J6:K6"/>
    <mergeCell ref="C10:F10"/>
    <mergeCell ref="I10:L10"/>
    <mergeCell ref="C11:E11"/>
    <mergeCell ref="I11:K11"/>
    <mergeCell ref="G1:G9"/>
    <mergeCell ref="H2:H6"/>
    <mergeCell ref="D15:E15"/>
    <mergeCell ref="J15:K15"/>
    <mergeCell ref="C19:F19"/>
    <mergeCell ref="I19:L19"/>
    <mergeCell ref="C20:E20"/>
    <mergeCell ref="I20:K20"/>
    <mergeCell ref="D24:E24"/>
    <mergeCell ref="J24:K24"/>
    <mergeCell ref="C28:F28"/>
    <mergeCell ref="I28:L28"/>
    <mergeCell ref="G10:G18"/>
    <mergeCell ref="G19:G27"/>
    <mergeCell ref="H11:H15"/>
    <mergeCell ref="H20:H24"/>
    <mergeCell ref="C29:E29"/>
    <mergeCell ref="I29:K29"/>
    <mergeCell ref="D33:E33"/>
    <mergeCell ref="J33:K33"/>
    <mergeCell ref="C37:F37"/>
    <mergeCell ref="I37:L37"/>
    <mergeCell ref="C38:E38"/>
    <mergeCell ref="I38:K38"/>
    <mergeCell ref="D42:E42"/>
    <mergeCell ref="J42:K42"/>
    <mergeCell ref="G28:G36"/>
    <mergeCell ref="G37:G45"/>
    <mergeCell ref="H29:H33"/>
    <mergeCell ref="H38:H42"/>
    <mergeCell ref="C46:F46"/>
    <mergeCell ref="I46:L46"/>
    <mergeCell ref="C47:E47"/>
    <mergeCell ref="I47:K47"/>
    <mergeCell ref="D51:E51"/>
    <mergeCell ref="J51:K51"/>
    <mergeCell ref="C55:F55"/>
    <mergeCell ref="I55:L55"/>
    <mergeCell ref="C56:E56"/>
    <mergeCell ref="I56:K56"/>
    <mergeCell ref="G46:G54"/>
    <mergeCell ref="H47:H51"/>
    <mergeCell ref="D60:E60"/>
    <mergeCell ref="J60:K60"/>
    <mergeCell ref="C64:F64"/>
    <mergeCell ref="I64:L64"/>
    <mergeCell ref="C65:E65"/>
    <mergeCell ref="I65:K65"/>
    <mergeCell ref="D69:E69"/>
    <mergeCell ref="J69:K69"/>
    <mergeCell ref="C73:F73"/>
    <mergeCell ref="I73:L73"/>
    <mergeCell ref="G55:G63"/>
    <mergeCell ref="G64:G72"/>
    <mergeCell ref="H56:H60"/>
    <mergeCell ref="H65:H69"/>
    <mergeCell ref="C74:E74"/>
    <mergeCell ref="I74:K74"/>
    <mergeCell ref="D78:E78"/>
    <mergeCell ref="J78:K78"/>
    <mergeCell ref="C82:F82"/>
    <mergeCell ref="I82:L82"/>
    <mergeCell ref="C83:E83"/>
    <mergeCell ref="I83:K83"/>
    <mergeCell ref="D87:E87"/>
    <mergeCell ref="J87:K87"/>
    <mergeCell ref="G73:G81"/>
    <mergeCell ref="G82:G90"/>
    <mergeCell ref="H74:H78"/>
    <mergeCell ref="H83:H87"/>
    <mergeCell ref="A82:A90"/>
    <mergeCell ref="B2:B6"/>
    <mergeCell ref="B11:B15"/>
    <mergeCell ref="B20:B24"/>
    <mergeCell ref="B29:B33"/>
    <mergeCell ref="B38:B42"/>
    <mergeCell ref="B47:B51"/>
    <mergeCell ref="B56:B60"/>
    <mergeCell ref="B65:B69"/>
    <mergeCell ref="B74:B78"/>
    <mergeCell ref="B83:B87"/>
    <mergeCell ref="A1:A9"/>
    <mergeCell ref="A10:A18"/>
    <mergeCell ref="A19:A27"/>
    <mergeCell ref="A28:A36"/>
    <mergeCell ref="A37:A45"/>
    <mergeCell ref="A46:A54"/>
    <mergeCell ref="A55:A63"/>
    <mergeCell ref="A64:A72"/>
    <mergeCell ref="A73:A81"/>
    <mergeCell ref="M83:M90"/>
    <mergeCell ref="N2:N9"/>
    <mergeCell ref="N11:N18"/>
    <mergeCell ref="N20:N27"/>
    <mergeCell ref="N29:N36"/>
    <mergeCell ref="N38:N45"/>
    <mergeCell ref="N47:N54"/>
    <mergeCell ref="N56:N63"/>
    <mergeCell ref="N65:N72"/>
    <mergeCell ref="N74:N81"/>
    <mergeCell ref="N83:N90"/>
    <mergeCell ref="M2:M9"/>
    <mergeCell ref="M11:M18"/>
    <mergeCell ref="M20:M27"/>
    <mergeCell ref="M29:M36"/>
    <mergeCell ref="M38:M45"/>
    <mergeCell ref="M47:M54"/>
    <mergeCell ref="M56:M63"/>
    <mergeCell ref="M65:M72"/>
    <mergeCell ref="M74:M81"/>
  </mergeCells>
  <conditionalFormatting sqref="C2:E2">
    <cfRule type="containsText" dxfId="54" priority="32" operator="containsText" text="Use '5/13 points' sheet !">
      <formula>NOT(ISERROR(SEARCH("Use '5/13 points' sheet !",C2)))</formula>
    </cfRule>
  </conditionalFormatting>
  <conditionalFormatting sqref="C11:E11">
    <cfRule type="containsText" dxfId="53" priority="20" operator="containsText" text="Use '5/13 points' sheet !">
      <formula>NOT(ISERROR(SEARCH("Use '5/13 points' sheet !",C11)))</formula>
    </cfRule>
  </conditionalFormatting>
  <conditionalFormatting sqref="C20:E20">
    <cfRule type="containsText" dxfId="52" priority="19" operator="containsText" text="Use '5/13 points' sheet !">
      <formula>NOT(ISERROR(SEARCH("Use '5/13 points' sheet !",C20)))</formula>
    </cfRule>
  </conditionalFormatting>
  <conditionalFormatting sqref="C29:E29">
    <cfRule type="containsText" dxfId="51" priority="18" operator="containsText" text="Use '5/13 points' sheet !">
      <formula>NOT(ISERROR(SEARCH("Use '5/13 points' sheet !",C29)))</formula>
    </cfRule>
  </conditionalFormatting>
  <conditionalFormatting sqref="C38:E38">
    <cfRule type="containsText" dxfId="50" priority="17" operator="containsText" text="Use '5/13 points' sheet !">
      <formula>NOT(ISERROR(SEARCH("Use '5/13 points' sheet !",C38)))</formula>
    </cfRule>
  </conditionalFormatting>
  <conditionalFormatting sqref="C47:E47">
    <cfRule type="containsText" dxfId="49" priority="16" operator="containsText" text="Use '5/13 points' sheet !">
      <formula>NOT(ISERROR(SEARCH("Use '5/13 points' sheet !",C47)))</formula>
    </cfRule>
  </conditionalFormatting>
  <conditionalFormatting sqref="C56:E56">
    <cfRule type="containsText" dxfId="48" priority="15" operator="containsText" text="Use '5/13 points' sheet !">
      <formula>NOT(ISERROR(SEARCH("Use '5/13 points' sheet !",C56)))</formula>
    </cfRule>
  </conditionalFormatting>
  <conditionalFormatting sqref="C65:E65">
    <cfRule type="containsText" dxfId="47" priority="14" operator="containsText" text="Use '5/13 points' sheet !">
      <formula>NOT(ISERROR(SEARCH("Use '5/13 points' sheet !",C65)))</formula>
    </cfRule>
  </conditionalFormatting>
  <conditionalFormatting sqref="C74:E74">
    <cfRule type="containsText" dxfId="46" priority="13" operator="containsText" text="Use '5/13 points' sheet !">
      <formula>NOT(ISERROR(SEARCH("Use '5/13 points' sheet !",C74)))</formula>
    </cfRule>
  </conditionalFormatting>
  <conditionalFormatting sqref="C83:E83">
    <cfRule type="containsText" dxfId="45" priority="12" operator="containsText" text="Use '5/13 points' sheet !">
      <formula>NOT(ISERROR(SEARCH("Use '5/13 points' sheet !",C83)))</formula>
    </cfRule>
  </conditionalFormatting>
  <conditionalFormatting sqref="I2:K2">
    <cfRule type="containsText" dxfId="44" priority="2" operator="containsText" text="Use '5/13 points' sheet !">
      <formula>NOT(ISERROR(SEARCH("Use '5/13 points' sheet !",I2)))</formula>
    </cfRule>
  </conditionalFormatting>
  <conditionalFormatting sqref="I11:K11">
    <cfRule type="containsText" dxfId="43" priority="3" operator="containsText" text="Use '5/13 points' sheet !">
      <formula>NOT(ISERROR(SEARCH("Use '5/13 points' sheet !",I11)))</formula>
    </cfRule>
  </conditionalFormatting>
  <conditionalFormatting sqref="I20:K20">
    <cfRule type="containsText" dxfId="42" priority="4" operator="containsText" text="Use '5/13 points' sheet !">
      <formula>NOT(ISERROR(SEARCH("Use '5/13 points' sheet !",I20)))</formula>
    </cfRule>
  </conditionalFormatting>
  <conditionalFormatting sqref="I29:K29">
    <cfRule type="containsText" dxfId="41" priority="5" operator="containsText" text="Use '5/13 points' sheet !">
      <formula>NOT(ISERROR(SEARCH("Use '5/13 points' sheet !",I29)))</formula>
    </cfRule>
  </conditionalFormatting>
  <conditionalFormatting sqref="I38:K38">
    <cfRule type="containsText" dxfId="40" priority="6" operator="containsText" text="Use '5/13 points' sheet !">
      <formula>NOT(ISERROR(SEARCH("Use '5/13 points' sheet !",I38)))</formula>
    </cfRule>
  </conditionalFormatting>
  <conditionalFormatting sqref="I47:K47">
    <cfRule type="containsText" dxfId="39" priority="7" operator="containsText" text="Use '5/13 points' sheet !">
      <formula>NOT(ISERROR(SEARCH("Use '5/13 points' sheet !",I47)))</formula>
    </cfRule>
  </conditionalFormatting>
  <conditionalFormatting sqref="I56:K56">
    <cfRule type="containsText" dxfId="38" priority="8" operator="containsText" text="Use '5/13 points' sheet !">
      <formula>NOT(ISERROR(SEARCH("Use '5/13 points' sheet !",I56)))</formula>
    </cfRule>
  </conditionalFormatting>
  <conditionalFormatting sqref="I65:K65">
    <cfRule type="containsText" dxfId="37" priority="9" operator="containsText" text="Use '5/13 points' sheet !">
      <formula>NOT(ISERROR(SEARCH("Use '5/13 points' sheet !",I65)))</formula>
    </cfRule>
  </conditionalFormatting>
  <conditionalFormatting sqref="I74:K74">
    <cfRule type="containsText" dxfId="36" priority="10" operator="containsText" text="Use '5/13 points' sheet !">
      <formula>NOT(ISERROR(SEARCH("Use '5/13 points' sheet !",I74)))</formula>
    </cfRule>
  </conditionalFormatting>
  <conditionalFormatting sqref="I83:K83">
    <cfRule type="containsText" dxfId="35" priority="11" operator="containsText" text="Use '5/13 points' sheet !">
      <formula>NOT(ISERROR(SEARCH("Use '5/13 points' sheet !",I83)))</formula>
    </cfRule>
  </conditionalFormatting>
  <conditionalFormatting sqref="M2:N9 M11:N18 M20:N27 M29:N36 M38:N45 M47:N54 M56:N63 M65:N72 M74:N81 M83:N90">
    <cfRule type="containsText" dxfId="34" priority="33" operator="containsText" text="要测试">
      <formula>NOT(ISERROR(SEARCH("要测试",M2)))</formula>
    </cfRule>
  </conditionalFormatting>
  <conditionalFormatting sqref="M2:N90">
    <cfRule type="containsText" dxfId="33" priority="1" operator="containsText" text="不可以用这一页, 需要打开下一页‘5_13 points’!">
      <formula>NOT(ISERROR(SEARCH("不可以用这一页, 需要打开下一页‘5_13 points’!",M2)))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09"/>
  <sheetViews>
    <sheetView workbookViewId="0">
      <selection activeCell="C3" sqref="C3"/>
    </sheetView>
  </sheetViews>
  <sheetFormatPr defaultColWidth="10.796875" defaultRowHeight="15.6"/>
  <cols>
    <col min="1" max="1" width="5.796875" style="1" customWidth="1"/>
    <col min="2" max="8" width="10.796875" style="1"/>
    <col min="9" max="9" width="5.796875" style="1" customWidth="1"/>
    <col min="10" max="16" width="10.796875" style="1"/>
    <col min="17" max="18" width="36.69921875" style="1" customWidth="1"/>
    <col min="19" max="20" width="10.796875" style="2"/>
    <col min="21" max="21" width="16" style="3" customWidth="1"/>
    <col min="22" max="22" width="10.796875" style="3"/>
    <col min="23" max="24" width="10.796875" style="1"/>
    <col min="25" max="28" width="10.796875" style="3"/>
    <col min="29" max="30" width="10.796875" style="1"/>
    <col min="31" max="31" width="13.19921875" style="1" customWidth="1"/>
    <col min="32" max="32" width="27.796875" style="1" customWidth="1"/>
    <col min="33" max="16384" width="10.796875" style="1"/>
  </cols>
  <sheetData>
    <row r="1" spans="1:32" ht="21">
      <c r="A1" s="195">
        <v>1</v>
      </c>
      <c r="B1" s="4" t="s">
        <v>75</v>
      </c>
      <c r="C1" s="205"/>
      <c r="D1" s="205"/>
      <c r="E1" s="205"/>
      <c r="F1" s="205"/>
      <c r="G1" s="205"/>
      <c r="H1" s="206"/>
      <c r="I1" s="195">
        <v>11</v>
      </c>
      <c r="J1" s="4" t="s">
        <v>75</v>
      </c>
      <c r="K1" s="205"/>
      <c r="L1" s="205"/>
      <c r="M1" s="205"/>
      <c r="N1" s="205"/>
      <c r="O1" s="205"/>
      <c r="P1" s="206"/>
      <c r="Q1" s="3"/>
      <c r="R1" s="3"/>
      <c r="S1" s="39"/>
      <c r="T1" s="39"/>
    </row>
    <row r="2" spans="1:32" ht="21" customHeight="1">
      <c r="A2" s="196"/>
      <c r="B2" s="198" t="s">
        <v>76</v>
      </c>
      <c r="C2" s="5"/>
      <c r="D2" s="212" t="str">
        <f>IF(Statistics!$R$2,"Use '9 points' sheet !",Statistics!$Q$2)</f>
        <v>Use '9 points' sheet !</v>
      </c>
      <c r="E2" s="213"/>
      <c r="F2" s="213"/>
      <c r="G2" s="214"/>
      <c r="H2" s="6"/>
      <c r="I2" s="196"/>
      <c r="J2" s="198" t="s">
        <v>76</v>
      </c>
      <c r="K2" s="5"/>
      <c r="L2" s="212" t="str">
        <f>IF(Statistics!$R$2,"Use '9 points' sheet !",Statistics!$Q$2)</f>
        <v>Use '9 points' sheet !</v>
      </c>
      <c r="M2" s="213"/>
      <c r="N2" s="213"/>
      <c r="O2" s="214"/>
      <c r="P2" s="6"/>
      <c r="Q2" s="194" t="str">
        <f>IF(Statistics!$R$2,"不可以用这一页, 需要打开下一页‘9 points’!",CONCATENATE(IF(S2="","要测试九个点和白墙亮度; ",IF(S2,,"工厂模式白屏亮度不够, 再一次确认下; ")),IF(S3="","要测试白黑屏亮度; ",IF(S3,,"工厂模式黑屏亮度太大, 再一次确认下; ")),IF(S5="","要测试九个点亮度; ",IF(S5,,"9个白点之间的亮度差异太高, 再一次确认下; ")),IF(S7="","要测试四个颜色; ",IF(S7,,"3个红绿蓝颜色不太对的, 再一次确认下")),IF(H3&gt;D9,"告诉Vova和工厂业务电视软件有大问题: 客人模式亮度不应该比工厂模式亮度还高","")))</f>
        <v>不可以用这一页, 需要打开下一页‘9 points’!</v>
      </c>
      <c r="R2" s="194" t="str">
        <f>IF(Statistics!$R$2,"不可以用这一页, 需要打开下一页‘9 points’!",CONCATENATE(IF(T2="","要测试九个点和白墙亮度; ",IF(T2,,"工厂模式白屏亮度不够, 再一次确认下; ")),IF(T3="","要测试白黑屏亮度; ",IF(T3,,"工厂模式黑屏亮度太大, 再一次确认下; ")),IF(T5="","要测试九个点亮度; ",IF(T5,,"9个白点之间的亮度差异太高, 再一次确认下; ")),IF(T7="","要测试四个颜色; ",IF(T7,,"3个红绿蓝颜色不太对的, 再一次确认下")),IF(P3&gt;L9,"告诉Vova和工厂业务电视软件有大问题: 客人模式亮度不应该比工厂模式亮度还高","")))</f>
        <v>不可以用这一页, 需要打开下一页‘9 points’!</v>
      </c>
      <c r="S2" s="39" t="str">
        <f>IF(D9&lt;1,"",IF(H8&lt;Statistics!$G$2*(1-Statistics!$Q$1),FALSE,TRUE))</f>
        <v/>
      </c>
      <c r="T2" s="39" t="str">
        <f>IF(L9&lt;1,"",IF(P8&lt;Statistics!$G$2*(1-Statistics!$Q$1),FALSE,TRUE))</f>
        <v/>
      </c>
      <c r="U2" s="40"/>
      <c r="V2" s="41" t="s">
        <v>1</v>
      </c>
      <c r="W2" s="41" t="s">
        <v>2</v>
      </c>
      <c r="X2" s="42" t="s">
        <v>3</v>
      </c>
      <c r="Y2" s="61" t="s">
        <v>85</v>
      </c>
      <c r="Z2" s="62" t="s">
        <v>86</v>
      </c>
      <c r="AA2" s="41" t="s">
        <v>78</v>
      </c>
      <c r="AB2" s="42" t="s">
        <v>79</v>
      </c>
      <c r="AE2" s="61" t="s">
        <v>80</v>
      </c>
      <c r="AF2" s="63" t="s">
        <v>75</v>
      </c>
    </row>
    <row r="3" spans="1:32" ht="21">
      <c r="A3" s="196"/>
      <c r="B3" s="207"/>
      <c r="C3" s="7"/>
      <c r="D3" s="8"/>
      <c r="E3" s="9"/>
      <c r="F3" s="8"/>
      <c r="G3" s="10"/>
      <c r="H3" s="11">
        <f>MAX(C3:G7)</f>
        <v>0</v>
      </c>
      <c r="I3" s="196"/>
      <c r="J3" s="207"/>
      <c r="K3" s="7"/>
      <c r="L3" s="8"/>
      <c r="M3" s="9"/>
      <c r="N3" s="8"/>
      <c r="O3" s="10"/>
      <c r="P3" s="11">
        <f>MAX(K3:O7)</f>
        <v>0</v>
      </c>
      <c r="Q3" s="194"/>
      <c r="R3" s="194"/>
      <c r="S3" s="39" t="str">
        <f>IF(F9=0,"",IF(H9&lt;Statistics!$G$5*(1-Statistics!$Q$1),FALSE,TRUE))</f>
        <v/>
      </c>
      <c r="T3" s="39" t="str">
        <f>IF(N9=0,"",IF(P9&lt;Statistics!$G$5*(1-Statistics!$Q$1),FALSE,TRUE))</f>
        <v/>
      </c>
      <c r="U3" s="43" t="s">
        <v>10</v>
      </c>
      <c r="V3" s="44" cm="1">
        <f t="array" ref="V3">MIN(IF(AC3:AD12&gt;0,AC3:AD12,""))</f>
        <v>0</v>
      </c>
      <c r="W3" s="44">
        <f>IFERROR(AVERAGEIF(AC3:AD12,"&gt;0"),0)</f>
        <v>0</v>
      </c>
      <c r="X3" s="45">
        <f>MAX(AC3:AD12)</f>
        <v>0</v>
      </c>
      <c r="Y3" s="64" t="str">
        <f>IF(H6=0,"",H6)</f>
        <v/>
      </c>
      <c r="Z3" s="65" t="str">
        <f>IF(H7=0,"",H7)</f>
        <v/>
      </c>
      <c r="AA3" s="50" t="str">
        <f>IF(H9=0,"",H9)</f>
        <v/>
      </c>
      <c r="AB3" s="66" t="str">
        <f>IF(H10=0,"",H10)</f>
        <v/>
      </c>
      <c r="AC3" s="67">
        <f>H8</f>
        <v>0</v>
      </c>
      <c r="AD3" s="67">
        <f>P8</f>
        <v>0</v>
      </c>
      <c r="AE3" s="68" cm="1">
        <f t="array" ref="AE3" ca="1">INDIRECT("D"&amp;8+11*(ROW()-3))</f>
        <v>0</v>
      </c>
      <c r="AF3" s="68" cm="1">
        <f t="array" ref="AF3" ca="1">INDIRECT("C"&amp;1+11*(ROW()-3))</f>
        <v>0</v>
      </c>
    </row>
    <row r="4" spans="1:32" ht="21">
      <c r="A4" s="196"/>
      <c r="B4" s="207"/>
      <c r="C4" s="12"/>
      <c r="D4" s="7"/>
      <c r="E4" s="13"/>
      <c r="F4" s="10"/>
      <c r="G4" s="14"/>
      <c r="H4" s="11">
        <f>MAX(D4:F6)</f>
        <v>0</v>
      </c>
      <c r="I4" s="196"/>
      <c r="J4" s="207"/>
      <c r="K4" s="12"/>
      <c r="L4" s="7"/>
      <c r="M4" s="13"/>
      <c r="N4" s="10"/>
      <c r="O4" s="14"/>
      <c r="P4" s="11">
        <f>MAX(L4:N6)</f>
        <v>0</v>
      </c>
      <c r="Q4" s="194"/>
      <c r="R4" s="194"/>
      <c r="S4" s="39" t="str">
        <f>IF(E5=0,"",IF(H6&lt;Statistics!$G$3*(1-Statistics!$Q$1),FALSE,TRUE))</f>
        <v/>
      </c>
      <c r="T4" s="39" t="str">
        <f>IF(M5=0,"",IF(P6&lt;Statistics!$G$3*(1-Statistics!$Q$1),FALSE,TRUE))</f>
        <v/>
      </c>
      <c r="U4" s="46" t="s">
        <v>87</v>
      </c>
      <c r="V4" s="47" cm="1">
        <f t="array" ref="V4">MIN(IF(Y3:Y22&gt;0,Y3:Y22,""))</f>
        <v>0</v>
      </c>
      <c r="W4" s="47">
        <f>IFERROR(AVERAGEIF(Y3:Y22,"&gt;0"),0)</f>
        <v>0</v>
      </c>
      <c r="X4" s="48">
        <f>MAX(Y3:Y22)</f>
        <v>0</v>
      </c>
      <c r="Y4" s="64" t="str">
        <f>IF(H17=0,"",H17)</f>
        <v/>
      </c>
      <c r="Z4" s="69" t="str">
        <f>IF(H18=0,"",H18)</f>
        <v/>
      </c>
      <c r="AA4" s="50" t="str">
        <f>IF(H20=0,"",H20)</f>
        <v/>
      </c>
      <c r="AB4" s="66" t="str">
        <f>IF(H21=0,"",H21)</f>
        <v/>
      </c>
      <c r="AC4" s="67">
        <f>H19</f>
        <v>0</v>
      </c>
      <c r="AD4" s="67">
        <f>P19</f>
        <v>0</v>
      </c>
      <c r="AE4" s="68" cm="1">
        <f t="array" ref="AE4" ca="1">INDIRECT("D"&amp;8+11*(ROW()-3))</f>
        <v>0</v>
      </c>
      <c r="AF4" s="68" cm="1">
        <f t="array" ref="AF4" ca="1">INDIRECT("C"&amp;1+11*(ROW()-3))</f>
        <v>0</v>
      </c>
    </row>
    <row r="5" spans="1:32" ht="21">
      <c r="A5" s="196"/>
      <c r="B5" s="207"/>
      <c r="C5" s="15"/>
      <c r="D5" s="16"/>
      <c r="E5" s="17"/>
      <c r="F5" s="18"/>
      <c r="G5" s="19"/>
      <c r="H5" s="11"/>
      <c r="I5" s="196"/>
      <c r="J5" s="207"/>
      <c r="K5" s="15"/>
      <c r="L5" s="16"/>
      <c r="M5" s="17"/>
      <c r="N5" s="18"/>
      <c r="O5" s="19"/>
      <c r="P5" s="11"/>
      <c r="Q5" s="194"/>
      <c r="R5" s="194"/>
      <c r="S5" s="39" t="str">
        <f>IF(E5=0,"",IF(H7&lt;Statistics!$G$4*(1-Statistics!$Q$1),FALSE,TRUE))</f>
        <v/>
      </c>
      <c r="T5" s="39" t="str">
        <f>IF(M5=0,"",IF(P7&lt;Statistics!$G$4*(1-Statistics!$Q$1),FALSE,TRUE))</f>
        <v/>
      </c>
      <c r="U5" s="46" t="s">
        <v>88</v>
      </c>
      <c r="V5" s="47" cm="1">
        <f t="array" ref="V5">MIN(IF(Z3:Z22&gt;0,Z3:Z22,""))</f>
        <v>0</v>
      </c>
      <c r="W5" s="47">
        <f>IFERROR(AVERAGEIF(Z3:Z22,"&gt;0"),0)</f>
        <v>0</v>
      </c>
      <c r="X5" s="48">
        <f>MAX(Z3:Z22)</f>
        <v>0</v>
      </c>
      <c r="Y5" s="64" t="str">
        <f>IF(H28=0,"",H28)</f>
        <v/>
      </c>
      <c r="Z5" s="69" t="str">
        <f>IF(H29=0,"",H29)</f>
        <v/>
      </c>
      <c r="AA5" s="50" t="str">
        <f>IF(H31=0,"",H31)</f>
        <v/>
      </c>
      <c r="AB5" s="66" t="str">
        <f>IF(H32=0,"",H32)</f>
        <v/>
      </c>
      <c r="AC5" s="67">
        <f>H30</f>
        <v>0</v>
      </c>
      <c r="AD5" s="67">
        <f>P30</f>
        <v>0</v>
      </c>
      <c r="AE5" s="68" cm="1">
        <f t="array" ref="AE5" ca="1">INDIRECT("D"&amp;8+11*(ROW()-3))</f>
        <v>0</v>
      </c>
      <c r="AF5" s="68" cm="1">
        <f t="array" ref="AF5" ca="1">INDIRECT("C"&amp;1+11*(ROW()-3))</f>
        <v>0</v>
      </c>
    </row>
    <row r="6" spans="1:32" ht="21">
      <c r="A6" s="196"/>
      <c r="B6" s="207"/>
      <c r="C6" s="12"/>
      <c r="D6" s="20"/>
      <c r="E6" s="21"/>
      <c r="F6" s="22"/>
      <c r="G6" s="14"/>
      <c r="H6" s="23" t="str">
        <f>IFERROR(MIN(C3:G7)/MAX(C3:G7),"")</f>
        <v/>
      </c>
      <c r="I6" s="196"/>
      <c r="J6" s="207"/>
      <c r="K6" s="12"/>
      <c r="L6" s="20"/>
      <c r="M6" s="21"/>
      <c r="N6" s="22"/>
      <c r="O6" s="14"/>
      <c r="P6" s="23" t="str">
        <f>IFERROR(MIN(K3:O7)/MAX(K3:O7),"")</f>
        <v/>
      </c>
      <c r="Q6" s="194"/>
      <c r="R6" s="194"/>
      <c r="S6" s="39"/>
      <c r="T6" s="39"/>
      <c r="U6" s="49" t="s">
        <v>17</v>
      </c>
      <c r="V6" s="50">
        <f>MIN(AA3:AA22)</f>
        <v>0</v>
      </c>
      <c r="W6" s="50">
        <f>IFERROR(AVERAGEIF(AA3:AA22,"&gt;0"),0)</f>
        <v>0</v>
      </c>
      <c r="X6" s="51">
        <f>MAX(AA3:AA22)</f>
        <v>0</v>
      </c>
      <c r="Y6" s="64" t="str">
        <f>IF(H39=0,"",H39)</f>
        <v/>
      </c>
      <c r="Z6" s="69" t="str">
        <f>IF(H40=0,"",H40)</f>
        <v/>
      </c>
      <c r="AA6" s="50" t="str">
        <f>IF(H42=0,"",H42)</f>
        <v/>
      </c>
      <c r="AB6" s="66" t="str">
        <f>IF(H43=0,"",H43)</f>
        <v/>
      </c>
      <c r="AC6" s="67">
        <f>H41</f>
        <v>0</v>
      </c>
      <c r="AD6" s="67">
        <f>P41</f>
        <v>0</v>
      </c>
      <c r="AE6" s="68" cm="1">
        <f t="array" ref="AE6" ca="1">INDIRECT("D"&amp;8+11*(ROW()-3))</f>
        <v>0</v>
      </c>
      <c r="AF6" s="68" cm="1">
        <f t="array" ref="AF6" ca="1">INDIRECT("C"&amp;1+11*(ROW()-3))</f>
        <v>0</v>
      </c>
    </row>
    <row r="7" spans="1:32" ht="21">
      <c r="A7" s="196"/>
      <c r="B7" s="207"/>
      <c r="C7" s="20"/>
      <c r="D7" s="24"/>
      <c r="E7" s="25"/>
      <c r="F7" s="24"/>
      <c r="G7" s="22"/>
      <c r="H7" s="23" t="str">
        <f>IFERROR(MIN(D4:F6)/MAX(D4:F6),"")</f>
        <v/>
      </c>
      <c r="I7" s="196"/>
      <c r="J7" s="207"/>
      <c r="K7" s="20"/>
      <c r="L7" s="24"/>
      <c r="M7" s="25"/>
      <c r="N7" s="24"/>
      <c r="O7" s="22"/>
      <c r="P7" s="23" t="str">
        <f>IFERROR(MIN(L4:N6)/MAX(L4:N6),"")</f>
        <v/>
      </c>
      <c r="Q7" s="194"/>
      <c r="R7" s="194"/>
      <c r="S7" s="39" t="str">
        <f>IF(E10&lt;0.1,"",IF(H10&lt;Statistics!$G$7*(1-2*Statistics!$Q$1),FALSE,TRUE))</f>
        <v/>
      </c>
      <c r="T7" s="39" t="str">
        <f>IF(M10&lt;0.1,"",IF(P10&lt;Statistics!$G$7*(1-2*Statistics!$Q$1),FALSE,TRUE))</f>
        <v/>
      </c>
      <c r="U7" s="49" t="s">
        <v>82</v>
      </c>
      <c r="V7" s="47">
        <f>MIN(AB3:AB22)</f>
        <v>0</v>
      </c>
      <c r="W7" s="47">
        <f>IFERROR(AVERAGEIF(AB3:AB22,"&gt;0"),0)</f>
        <v>0</v>
      </c>
      <c r="X7" s="48">
        <f>MAX(AB3:AB22)</f>
        <v>0</v>
      </c>
      <c r="Y7" s="64" t="str">
        <f>IF(H50=0,"",H50)</f>
        <v/>
      </c>
      <c r="Z7" s="69" t="str">
        <f>IF(H51=0,"",H51)</f>
        <v/>
      </c>
      <c r="AA7" s="50" t="str">
        <f>IF(H53=0,"",H53)</f>
        <v/>
      </c>
      <c r="AB7" s="66" t="str">
        <f>IF(H54=0,"",H54)</f>
        <v/>
      </c>
      <c r="AC7" s="67">
        <f>H52</f>
        <v>0</v>
      </c>
      <c r="AD7" s="67">
        <f>P52</f>
        <v>0</v>
      </c>
      <c r="AE7" s="68" cm="1">
        <f t="array" ref="AE7" ca="1">INDIRECT("D"&amp;8+11*(ROW()-3))</f>
        <v>0</v>
      </c>
      <c r="AF7" s="68" cm="1">
        <f t="array" ref="AF7" ca="1">INDIRECT("C"&amp;1+11*(ROW()-3))</f>
        <v>0</v>
      </c>
    </row>
    <row r="8" spans="1:32" ht="21">
      <c r="A8" s="196"/>
      <c r="B8" s="200"/>
      <c r="C8" s="26" t="s">
        <v>81</v>
      </c>
      <c r="D8" s="215"/>
      <c r="E8" s="216"/>
      <c r="F8" s="216"/>
      <c r="G8" s="217"/>
      <c r="H8" s="27">
        <f>MAX(C3:G7,D9)</f>
        <v>0</v>
      </c>
      <c r="I8" s="196"/>
      <c r="J8" s="200"/>
      <c r="K8" s="26" t="s">
        <v>81</v>
      </c>
      <c r="L8" s="215"/>
      <c r="M8" s="216"/>
      <c r="N8" s="216"/>
      <c r="O8" s="217"/>
      <c r="P8" s="27">
        <f>MAX(K3:O7,L9)</f>
        <v>0</v>
      </c>
      <c r="Q8" s="194"/>
      <c r="R8" s="194"/>
      <c r="S8" s="39"/>
      <c r="T8" s="39"/>
      <c r="U8" s="49" t="s">
        <v>21</v>
      </c>
      <c r="V8" s="52"/>
      <c r="W8" s="3"/>
      <c r="X8" s="53"/>
      <c r="Y8" s="64" t="str">
        <f>IF(H61=0,"",H61)</f>
        <v/>
      </c>
      <c r="Z8" s="69" t="str">
        <f>IF(H62=0,"",H62)</f>
        <v/>
      </c>
      <c r="AA8" s="50" t="str">
        <f>IF(H64=0,"",H64)</f>
        <v/>
      </c>
      <c r="AB8" s="66" t="str">
        <f>IF(H65=0,"",H65)</f>
        <v/>
      </c>
      <c r="AC8" s="67">
        <f>H63</f>
        <v>0</v>
      </c>
      <c r="AD8" s="67">
        <f>P63</f>
        <v>0</v>
      </c>
      <c r="AE8" s="68" cm="1">
        <f t="array" ref="AE8" ca="1">INDIRECT("D"&amp;8+11*(ROW()-3))</f>
        <v>0</v>
      </c>
      <c r="AF8" s="68" cm="1">
        <f t="array" ref="AF8" ca="1">INDIRECT("C"&amp;1+11*(ROW()-3))</f>
        <v>0</v>
      </c>
    </row>
    <row r="9" spans="1:32" ht="21">
      <c r="A9" s="196"/>
      <c r="B9" s="218" t="s">
        <v>89</v>
      </c>
      <c r="C9" s="219"/>
      <c r="D9" s="220"/>
      <c r="E9" s="221"/>
      <c r="F9" s="222"/>
      <c r="G9" s="223"/>
      <c r="H9" s="28" t="str">
        <f>IFERROR(D9/F9,"")</f>
        <v/>
      </c>
      <c r="I9" s="196"/>
      <c r="J9" s="218" t="s">
        <v>89</v>
      </c>
      <c r="K9" s="219"/>
      <c r="L9" s="220"/>
      <c r="M9" s="221"/>
      <c r="N9" s="222"/>
      <c r="O9" s="223"/>
      <c r="P9" s="28" t="str">
        <f>IFERROR(L9/N9,"")</f>
        <v/>
      </c>
      <c r="Q9" s="194"/>
      <c r="R9" s="194"/>
      <c r="S9" s="39"/>
      <c r="T9" s="39"/>
      <c r="U9" s="49" t="s">
        <v>84</v>
      </c>
      <c r="V9" s="54">
        <f>MIN(E8,E19,E30,E41,E52,E63,E74,E85,E96,E107,M8,M19,M30,M41,M52,M63,M74,M85,M96,M107)</f>
        <v>0</v>
      </c>
      <c r="W9" s="54">
        <f>IFERROR(AVERAGE(E8,E19,E30,E41,E52,E63,E74,E85,E96,E107,M8,M19,M30,M41,M52,M63,M74,M85,M96,M107),0)</f>
        <v>0</v>
      </c>
      <c r="X9" s="55">
        <f>MAX(E8,E19,E30,E41,E52,E63,E74,E85,E96,E107,M8,M19,M30,M41,M52,M63,M74,M85,M96,M107)</f>
        <v>0</v>
      </c>
      <c r="Y9" s="64" t="str">
        <f>IF(H72=0,"",H72)</f>
        <v/>
      </c>
      <c r="Z9" s="69" t="str">
        <f>IF(H73=0,"",H73)</f>
        <v/>
      </c>
      <c r="AA9" s="50" t="str">
        <f>IF(H75=0,"",H75)</f>
        <v/>
      </c>
      <c r="AB9" s="66" t="str">
        <f>IF(H76=0,"",H76)</f>
        <v/>
      </c>
      <c r="AC9" s="67">
        <f>H74</f>
        <v>0</v>
      </c>
      <c r="AD9" s="67">
        <f>P74</f>
        <v>0</v>
      </c>
      <c r="AE9" s="68" cm="1">
        <f t="array" ref="AE9" ca="1">INDIRECT("D"&amp;8+11*(ROW()-3))</f>
        <v>0</v>
      </c>
      <c r="AF9" s="68" cm="1">
        <f t="array" ref="AF9" ca="1">INDIRECT("C"&amp;1+11*(ROW()-3))</f>
        <v>0</v>
      </c>
    </row>
    <row r="10" spans="1:32" ht="21" customHeight="1">
      <c r="A10" s="196"/>
      <c r="B10" s="208" t="s">
        <v>90</v>
      </c>
      <c r="C10" s="209"/>
      <c r="D10" s="29"/>
      <c r="E10" s="30"/>
      <c r="F10" s="31"/>
      <c r="G10" s="32"/>
      <c r="H10" s="33">
        <f>0.5*ABS(E10*F11-E11*F10+F10*G11-F11*G10+G10*E11-G11*E10)/H11</f>
        <v>0</v>
      </c>
      <c r="I10" s="196"/>
      <c r="J10" s="208" t="s">
        <v>90</v>
      </c>
      <c r="K10" s="209"/>
      <c r="L10" s="29"/>
      <c r="M10" s="30"/>
      <c r="N10" s="31"/>
      <c r="O10" s="32"/>
      <c r="P10" s="33">
        <f>0.5*ABS(M10*N11-M11*N10+N10*O11-N11*O10+O10*M11-O11*M10)/P11</f>
        <v>0</v>
      </c>
      <c r="Q10" s="194"/>
      <c r="R10" s="194"/>
      <c r="S10" s="39"/>
      <c r="T10" s="39"/>
      <c r="U10" s="49" t="s">
        <v>38</v>
      </c>
      <c r="V10" s="56">
        <f>MIN(D10,D21,D32,D43,D54,D65,D76,D87,D98,D109,L10,L21,L32,L43,L54,L65,L76,L87,L98,L109)</f>
        <v>0</v>
      </c>
      <c r="W10" s="56">
        <f>IFERROR(AVERAGE(D10,D21,D32,D43,D54,D65,D76,D87,D98,D109,L10,L21,L32,L43,L54,L65,L76,L87,L98,L109),0)</f>
        <v>0</v>
      </c>
      <c r="X10" s="57">
        <f>MAX(D10,D21,D32,D43,D54,D65,D76,D87,D98,D109,L10,L21,L32,L43,L54,L65,L76,L87,L98,L109)</f>
        <v>0</v>
      </c>
      <c r="Y10" s="64" t="str">
        <f>IF(H83=0,"",H83)</f>
        <v/>
      </c>
      <c r="Z10" s="69" t="str">
        <f>IF(H84=0,"",H84)</f>
        <v/>
      </c>
      <c r="AA10" s="50" t="str">
        <f>IF(H86=0,"",H86)</f>
        <v/>
      </c>
      <c r="AB10" s="66" t="str">
        <f>IF(H87=0,"",H87)</f>
        <v/>
      </c>
      <c r="AC10" s="67">
        <f>H85</f>
        <v>0</v>
      </c>
      <c r="AD10" s="67">
        <f>P85</f>
        <v>0</v>
      </c>
      <c r="AE10" s="68" cm="1">
        <f t="array" ref="AE10" ca="1">INDIRECT("D"&amp;8+11*(ROW()-3))</f>
        <v>0</v>
      </c>
      <c r="AF10" s="68" cm="1">
        <f t="array" ref="AF10" ca="1">INDIRECT("C"&amp;1+11*(ROW()-3))</f>
        <v>0</v>
      </c>
    </row>
    <row r="11" spans="1:32" ht="21">
      <c r="A11" s="197"/>
      <c r="B11" s="210"/>
      <c r="C11" s="211"/>
      <c r="D11" s="34"/>
      <c r="E11" s="35"/>
      <c r="F11" s="36"/>
      <c r="G11" s="37"/>
      <c r="H11" s="38">
        <f>0.5*ABS(0.674*0.712-0.218*0.326+0.218*0.08-0.14*0.712+0.14*0.326-0.674*0.08)</f>
        <v>0.15915000000000001</v>
      </c>
      <c r="I11" s="197"/>
      <c r="J11" s="210"/>
      <c r="K11" s="211"/>
      <c r="L11" s="34"/>
      <c r="M11" s="35"/>
      <c r="N11" s="36"/>
      <c r="O11" s="37"/>
      <c r="P11" s="38">
        <f>0.5*ABS(0.674*0.712-0.218*0.326+0.218*0.08-0.14*0.712+0.14*0.326-0.674*0.08)</f>
        <v>0.15915000000000001</v>
      </c>
      <c r="Q11" s="194"/>
      <c r="R11" s="194"/>
      <c r="S11" s="39"/>
      <c r="T11" s="39"/>
      <c r="U11" s="49" t="s">
        <v>40</v>
      </c>
      <c r="V11" s="56">
        <f>MIN(D11,D22,D33,D44,D55,D66,D77,D88,D99,D110,L11,L22,L33,L44,L55,L66,L77,L88,L99,L110)</f>
        <v>0</v>
      </c>
      <c r="W11" s="56">
        <f>IFERROR(AVERAGE(D11,D22,D33,D44,D55,D66,D77,D88,D99,D110,L11,L22,L33,L44,L55,L66,L77,L88,L99,L110),0)</f>
        <v>0</v>
      </c>
      <c r="X11" s="57">
        <f>MAX(D11,D22,D33,D44,D55,D66,D77,D88,D99,D110,L11,L22,L33,L44,L55,L66,L77,L88,L99,L110)</f>
        <v>0</v>
      </c>
      <c r="Y11" s="64" t="str">
        <f>IF(H94=0,"",H94)</f>
        <v/>
      </c>
      <c r="Z11" s="69" t="str">
        <f>IF(H95=0,"",H95)</f>
        <v/>
      </c>
      <c r="AA11" s="50" t="str">
        <f>IF(H97=0,"",H97)</f>
        <v/>
      </c>
      <c r="AB11" s="66" t="str">
        <f>IF(H98=0,"",H98)</f>
        <v/>
      </c>
      <c r="AC11" s="67">
        <f>H96</f>
        <v>0</v>
      </c>
      <c r="AD11" s="67">
        <f>P96</f>
        <v>0</v>
      </c>
      <c r="AE11" s="68" cm="1">
        <f t="array" ref="AE11" ca="1">INDIRECT("D"&amp;8+11*(ROW()-3))</f>
        <v>0</v>
      </c>
      <c r="AF11" s="68" cm="1">
        <f t="array" ref="AF11" ca="1">INDIRECT("C"&amp;1+11*(ROW()-3))</f>
        <v>0</v>
      </c>
    </row>
    <row r="12" spans="1:32" ht="21">
      <c r="A12" s="195">
        <f>A1+1</f>
        <v>2</v>
      </c>
      <c r="B12" s="4" t="s">
        <v>75</v>
      </c>
      <c r="C12" s="205"/>
      <c r="D12" s="205"/>
      <c r="E12" s="205"/>
      <c r="F12" s="205"/>
      <c r="G12" s="205"/>
      <c r="H12" s="206"/>
      <c r="I12" s="195">
        <f>I1+1</f>
        <v>12</v>
      </c>
      <c r="J12" s="4" t="s">
        <v>75</v>
      </c>
      <c r="K12" s="205"/>
      <c r="L12" s="205"/>
      <c r="M12" s="205"/>
      <c r="N12" s="205"/>
      <c r="O12" s="205"/>
      <c r="P12" s="206"/>
      <c r="Q12" s="3"/>
      <c r="R12" s="3"/>
      <c r="S12" s="39"/>
      <c r="T12" s="39"/>
      <c r="U12" s="49" t="s">
        <v>27</v>
      </c>
      <c r="V12" s="56">
        <f>MIN(E10,E21,E32,E43,E54,E65,E76,E87,E98,E109,M10,M21,M32,M43,M54,M65,M76,M87,M98,M109)</f>
        <v>0</v>
      </c>
      <c r="W12" s="56">
        <f>IFERROR(AVERAGE(E10,E21,E32,E43,E54,E65,E76,E87,E98,E109,M10,M21,M32,M43,M54,M65,M76,M87,M98,M109),0)</f>
        <v>0</v>
      </c>
      <c r="X12" s="57">
        <f>MAX(E10,E21,E32,E43,E54,E65,E76,E87,E98,E109,M10,M21,M32,M43,M54,M65,M76,M87,M98,M109)</f>
        <v>0</v>
      </c>
      <c r="Y12" s="64" t="str">
        <f>IF(H105=0,"",H105)</f>
        <v/>
      </c>
      <c r="Z12" s="69" t="str">
        <f>IF(H106=0,"",H106)</f>
        <v/>
      </c>
      <c r="AA12" s="50" t="str">
        <f>IF(H108=0,"",H108)</f>
        <v/>
      </c>
      <c r="AB12" s="66" t="str">
        <f>IF(H109=0,"",H109)</f>
        <v/>
      </c>
      <c r="AC12" s="67">
        <f>H107</f>
        <v>0</v>
      </c>
      <c r="AD12" s="67">
        <f>P107</f>
        <v>0</v>
      </c>
      <c r="AE12" s="68" cm="1">
        <f t="array" ref="AE12" ca="1">INDIRECT("D"&amp;8+11*(ROW()-3))</f>
        <v>0</v>
      </c>
      <c r="AF12" s="68" cm="1">
        <f t="array" ref="AF12" ca="1">INDIRECT("C"&amp;1+11*(ROW()-3))</f>
        <v>0</v>
      </c>
    </row>
    <row r="13" spans="1:32" ht="21" customHeight="1">
      <c r="A13" s="196"/>
      <c r="B13" s="198" t="s">
        <v>76</v>
      </c>
      <c r="C13" s="5"/>
      <c r="D13" s="212" t="str">
        <f>IF(Statistics!$R$2,"Use '9 points' sheet !",Statistics!$Q$2)</f>
        <v>Use '9 points' sheet !</v>
      </c>
      <c r="E13" s="213"/>
      <c r="F13" s="213"/>
      <c r="G13" s="214"/>
      <c r="H13" s="6"/>
      <c r="I13" s="196"/>
      <c r="J13" s="198" t="s">
        <v>76</v>
      </c>
      <c r="K13" s="5"/>
      <c r="L13" s="212" t="str">
        <f>IF(Statistics!$R$2,"Use '9 points' sheet !",Statistics!$Q$2)</f>
        <v>Use '9 points' sheet !</v>
      </c>
      <c r="M13" s="213"/>
      <c r="N13" s="213"/>
      <c r="O13" s="214"/>
      <c r="P13" s="6"/>
      <c r="Q13" s="194" t="str">
        <f>IF(Statistics!$R$2,"不可以用这一页, 需要打开下一页‘9 points’!",CONCATENATE(IF(S13="","要测试九个点和白墙亮度; ",IF(S13,,"工厂模式白屏亮度不够, 再一次确认下; ")),IF(S14="","要测试白黑屏亮度; ",IF(S14,,"工厂模式黑屏亮度太大, 再一次确认下; ")),IF(S16="","要测试九个点亮度; ",IF(S16,,"9个白点之间的亮度差异太高, 再一次确认下; ")),IF(S18="","要测试四个颜色; ",IF(S18,,"3个红绿蓝颜色不太对的, 再一次确认下")),IF(H14&gt;D20,"告诉Vova和工厂业务电视软件有大问题: 客人模式亮度不应该比工厂模式亮度还高","")))</f>
        <v>不可以用这一页, 需要打开下一页‘9 points’!</v>
      </c>
      <c r="R13" s="194" t="str">
        <f>IF(Statistics!$R$2,"不可以用这一页, 需要打开下一页‘9 points’!",CONCATENATE(IF(T13="","要测试九个点和白墙亮度; ",IF(T13,,"工厂模式白屏亮度不够, 再一次确认下; ")),IF(T14="","要测试白黑屏亮度; ",IF(T14,,"工厂模式黑屏亮度太大, 再一次确认下; ")),IF(T16="","要测试九个点亮度; ",IF(T16,,"9个白点之间的亮度差异太高, 再一次确认下; ")),IF(T18="","要测试四个颜色; ",IF(T18,,"3个红绿蓝颜色不太对的, 再一次确认下")),IF(P14&gt;L20,"告诉Vova和工厂业务电视软件有大问题: 客人模式亮度不应该比工厂模式亮度还高","")))</f>
        <v>不可以用这一页, 需要打开下一页‘9 points’!</v>
      </c>
      <c r="S13" s="39" t="str">
        <f>IF(D20&lt;1,"",IF(H19&lt;Statistics!$G$2*(1-Statistics!$Q$1),FALSE,TRUE))</f>
        <v/>
      </c>
      <c r="T13" s="39" t="str">
        <f>IF(L20&lt;1,"",IF(P19&lt;Statistics!$G$2*(1-Statistics!$Q$1),FALSE,TRUE))</f>
        <v/>
      </c>
      <c r="U13" s="49" t="s">
        <v>29</v>
      </c>
      <c r="V13" s="56">
        <f>MIN(E11,E22,E33,E44,E55,E66,E77,E88,E99,E110,M11,M22,M33,M44,M55,M66,M77,M88,M99,M110)</f>
        <v>0</v>
      </c>
      <c r="W13" s="56">
        <f>IFERROR(AVERAGE(E11,E22,E33,E44,E55,E66,E77,E88,E99,E110,M11,M22,M33,M44,M55,M66,M77,M88,M99,M110),0)</f>
        <v>0</v>
      </c>
      <c r="X13" s="57">
        <f>MAX(E11,E22,E33,E44,E55,E66,E77,E88,E99,E110,M11,M22,M33,M44,M55,M66,M77,M88,M99,M110)</f>
        <v>0</v>
      </c>
      <c r="Y13" s="64" t="str">
        <f>IF(P6=0,"",P6)</f>
        <v/>
      </c>
      <c r="Z13" s="69" t="str">
        <f>IF(P7=0,"",P7)</f>
        <v/>
      </c>
      <c r="AA13" s="50" t="str">
        <f>IF(P9=0,"",P9)</f>
        <v/>
      </c>
      <c r="AB13" s="66" t="str">
        <f>IF(P10=0,"",P10)</f>
        <v/>
      </c>
      <c r="AE13" s="3" cm="1">
        <f t="array" ref="AE13" ca="1">INDIRECT("L"&amp;8+11*(ROW()-13))</f>
        <v>0</v>
      </c>
      <c r="AF13" s="68" cm="1">
        <f t="array" ref="AF13" ca="1">INDIRECT("K"&amp;1+11*(ROW()-13))</f>
        <v>0</v>
      </c>
    </row>
    <row r="14" spans="1:32" ht="21">
      <c r="A14" s="196"/>
      <c r="B14" s="207"/>
      <c r="C14" s="7"/>
      <c r="D14" s="8"/>
      <c r="E14" s="9"/>
      <c r="F14" s="8"/>
      <c r="G14" s="10"/>
      <c r="H14" s="11">
        <f>MAX(C14:G18)</f>
        <v>0</v>
      </c>
      <c r="I14" s="196"/>
      <c r="J14" s="207"/>
      <c r="K14" s="7"/>
      <c r="L14" s="8"/>
      <c r="M14" s="9"/>
      <c r="N14" s="8"/>
      <c r="O14" s="10"/>
      <c r="P14" s="11">
        <f>MAX(K14:O18)</f>
        <v>0</v>
      </c>
      <c r="Q14" s="194"/>
      <c r="R14" s="194"/>
      <c r="S14" s="39" t="str">
        <f>IF(F20=0,"",IF(H20&lt;Statistics!$G$5*(1-Statistics!$Q$1),FALSE,TRUE))</f>
        <v/>
      </c>
      <c r="T14" s="39" t="str">
        <f>IF(N20=0,"",IF(P20&lt;Statistics!$G$5*(1-Statistics!$Q$1),FALSE,TRUE))</f>
        <v/>
      </c>
      <c r="U14" s="49" t="s">
        <v>31</v>
      </c>
      <c r="V14" s="56">
        <f>MIN(F10,F21,F32,F43,F54,F65,F76,F87,F98,F109,N10,N21,N32,N43,N54,N65,N76,N87,N98,N109)</f>
        <v>0</v>
      </c>
      <c r="W14" s="56">
        <f>IFERROR(AVERAGE(F10,F21,F32,F43,F54,F65,F76,F87,F98,F109,N10,N21,N32,N43,N54,N65,N76,N87,N98,N109),0)</f>
        <v>0</v>
      </c>
      <c r="X14" s="57">
        <f>MAX(F10,F21,F32,F43,F54,F65,F76,F87,F98,F109,N10,N21,N32,N43,N54,N65,N76,N87,N98,N109)</f>
        <v>0</v>
      </c>
      <c r="Y14" s="64" t="str">
        <f>IF(P17=0,"",P17)</f>
        <v/>
      </c>
      <c r="Z14" s="69" t="str">
        <f>IF(P18=0,"",P18)</f>
        <v/>
      </c>
      <c r="AA14" s="50" t="str">
        <f>IF(P20=0,"",P20)</f>
        <v/>
      </c>
      <c r="AB14" s="66" t="str">
        <f>IF(P21=0,"",P21)</f>
        <v/>
      </c>
      <c r="AE14" s="3" cm="1">
        <f t="array" ref="AE14" ca="1">INDIRECT("L"&amp;8+11*(ROW()-13))</f>
        <v>0</v>
      </c>
      <c r="AF14" s="68" cm="1">
        <f t="array" ref="AF14" ca="1">INDIRECT("K"&amp;1+11*(ROW()-13))</f>
        <v>0</v>
      </c>
    </row>
    <row r="15" spans="1:32" ht="21">
      <c r="A15" s="196"/>
      <c r="B15" s="207"/>
      <c r="C15" s="12"/>
      <c r="D15" s="7"/>
      <c r="E15" s="13"/>
      <c r="F15" s="10"/>
      <c r="G15" s="14"/>
      <c r="H15" s="11">
        <f>MAX(D15:F17)</f>
        <v>0</v>
      </c>
      <c r="I15" s="196"/>
      <c r="J15" s="207"/>
      <c r="K15" s="12"/>
      <c r="L15" s="7"/>
      <c r="M15" s="13"/>
      <c r="N15" s="10"/>
      <c r="O15" s="14"/>
      <c r="P15" s="11">
        <f>MAX(L15:N17)</f>
        <v>0</v>
      </c>
      <c r="Q15" s="194"/>
      <c r="R15" s="194"/>
      <c r="S15" s="39" t="str">
        <f>IF(E16=0,"",IF(H17&lt;Statistics!$G$3*(1-Statistics!$Q$1),FALSE,TRUE))</f>
        <v/>
      </c>
      <c r="T15" s="39" t="str">
        <f>IF(M16=0,"",IF(P17&lt;Statistics!$G$3*(1-Statistics!$Q$1),FALSE,TRUE))</f>
        <v/>
      </c>
      <c r="U15" s="49" t="s">
        <v>33</v>
      </c>
      <c r="V15" s="56">
        <f>MIN(F11,F22,F33,F44,F55,F66,F77,F88,F99,F110,N11,N22,N33,N44,N55,N66,N77,N88,N99,N110)</f>
        <v>0</v>
      </c>
      <c r="W15" s="56">
        <f>IFERROR(AVERAGE(F11,F22,F33,F44,F55,F66,F77,F88,F99,F110,N11,N22,N33,N44,N55,N66,N77,N88,N99,N110),0)</f>
        <v>0</v>
      </c>
      <c r="X15" s="57">
        <f>MAX(F11,F22,F33,F44,F55,F66,F77,F88,F99,F110,N11,N22,N33,N44,N55,N66,N77,N88,N99,N110)</f>
        <v>0</v>
      </c>
      <c r="Y15" s="64" t="str">
        <f>IF(P28=0,"",P28)</f>
        <v/>
      </c>
      <c r="Z15" s="69" t="str">
        <f>IF(P29=0,"",P29)</f>
        <v/>
      </c>
      <c r="AA15" s="50" t="str">
        <f>IF(P31=0,"",P31)</f>
        <v/>
      </c>
      <c r="AB15" s="66" t="str">
        <f>IF(P32=0,"",P32)</f>
        <v/>
      </c>
      <c r="AE15" s="3" cm="1">
        <f t="array" ref="AE15" ca="1">INDIRECT("L"&amp;8+11*(ROW()-13))</f>
        <v>0</v>
      </c>
      <c r="AF15" s="68" cm="1">
        <f t="array" ref="AF15" ca="1">INDIRECT("K"&amp;1+11*(ROW()-13))</f>
        <v>0</v>
      </c>
    </row>
    <row r="16" spans="1:32" ht="21">
      <c r="A16" s="196"/>
      <c r="B16" s="207"/>
      <c r="C16" s="15"/>
      <c r="D16" s="16"/>
      <c r="E16" s="17"/>
      <c r="F16" s="18"/>
      <c r="G16" s="19"/>
      <c r="H16" s="11"/>
      <c r="I16" s="196"/>
      <c r="J16" s="207"/>
      <c r="K16" s="15"/>
      <c r="L16" s="16"/>
      <c r="M16" s="17"/>
      <c r="N16" s="18"/>
      <c r="O16" s="19"/>
      <c r="P16" s="11"/>
      <c r="Q16" s="194"/>
      <c r="R16" s="194"/>
      <c r="S16" s="39" t="str">
        <f>IF(E16=0,"",IF(H18&lt;Statistics!$G$4*(1-Statistics!$Q$1),FALSE,TRUE))</f>
        <v/>
      </c>
      <c r="T16" s="39" t="str">
        <f>IF(M16=0,"",IF(P18&lt;Statistics!$G$4*(1-Statistics!$Q$1),FALSE,TRUE))</f>
        <v/>
      </c>
      <c r="U16" s="49" t="s">
        <v>35</v>
      </c>
      <c r="V16" s="56">
        <f>MIN(G10,G21,G32,G43,G54,G65,G76,G87,G98,G109,O10,O21,O32,O43,O54,O65,O76,O87,O98,O109)</f>
        <v>0</v>
      </c>
      <c r="W16" s="56">
        <f>IFERROR(AVERAGE(G10,G21,G32,G43,G54,G65,G76,G87,G98,G109,O10,O21,O32,O43,O54,O65,O76,O87,O98,O109),0)</f>
        <v>0</v>
      </c>
      <c r="X16" s="57">
        <f>MAX(G10,G21,G32,G43,G54,G65,G76,G87,G98,G109,O10,O21,O32,O43,O54,O65,O76,O87,O98,O109)</f>
        <v>0</v>
      </c>
      <c r="Y16" s="64" t="str">
        <f>IF(P39=0,"",P39)</f>
        <v/>
      </c>
      <c r="Z16" s="69" t="str">
        <f>IF(P40=0,"",P40)</f>
        <v/>
      </c>
      <c r="AA16" s="50" t="str">
        <f>IF(P42=0,"",P42)</f>
        <v/>
      </c>
      <c r="AB16" s="66" t="str">
        <f>IF(P43=0,"",P43)</f>
        <v/>
      </c>
      <c r="AE16" s="3" cm="1">
        <f t="array" ref="AE16" ca="1">INDIRECT("L"&amp;8+11*(ROW()-13))</f>
        <v>0</v>
      </c>
      <c r="AF16" s="68" cm="1">
        <f t="array" ref="AF16" ca="1">INDIRECT("K"&amp;1+11*(ROW()-13))</f>
        <v>0</v>
      </c>
    </row>
    <row r="17" spans="1:32" ht="21">
      <c r="A17" s="196"/>
      <c r="B17" s="207"/>
      <c r="C17" s="12"/>
      <c r="D17" s="20"/>
      <c r="E17" s="21"/>
      <c r="F17" s="22"/>
      <c r="G17" s="14"/>
      <c r="H17" s="23" t="str">
        <f>IFERROR(MIN(C14:G18)/MAX(C14:G18),"")</f>
        <v/>
      </c>
      <c r="I17" s="196"/>
      <c r="J17" s="207"/>
      <c r="K17" s="12"/>
      <c r="L17" s="20"/>
      <c r="M17" s="21"/>
      <c r="N17" s="22"/>
      <c r="O17" s="14"/>
      <c r="P17" s="23" t="str">
        <f>IFERROR(MIN(K14:O18)/MAX(K14:O18),"")</f>
        <v/>
      </c>
      <c r="Q17" s="194"/>
      <c r="R17" s="194"/>
      <c r="S17" s="39"/>
      <c r="T17" s="39"/>
      <c r="U17" s="58" t="s">
        <v>36</v>
      </c>
      <c r="V17" s="59">
        <f>MIN(G11,G22,G33,G44,G55,G66,G77,G88,G99,G110,O11,O22,O33,O44,O55,O66,O77,O88,O99,O110)</f>
        <v>0</v>
      </c>
      <c r="W17" s="59">
        <f>IFERROR(AVERAGE(G11,G22,G33,G44,G55,G66,G77,G88,G99,G110,O11,O22,O33,O44,O55,O66,O77,O88,O99,O110),0)</f>
        <v>0</v>
      </c>
      <c r="X17" s="60">
        <f>MAX(G11,G22,G33,G44,G55,G66,G77,G88,G99,G110,O11,O22,O33,O44,O55,O66,O77,O88,O99,O110)</f>
        <v>0</v>
      </c>
      <c r="Y17" s="64" t="str">
        <f>IF(P50=0,"",P50)</f>
        <v/>
      </c>
      <c r="Z17" s="69" t="str">
        <f>IF(P51=0,"",P51)</f>
        <v/>
      </c>
      <c r="AA17" s="50" t="str">
        <f>IF(P53=0,"",P53)</f>
        <v/>
      </c>
      <c r="AB17" s="66" t="str">
        <f>IF(P54=0,"",P54)</f>
        <v/>
      </c>
      <c r="AE17" s="3" cm="1">
        <f t="array" ref="AE17" ca="1">INDIRECT("L"&amp;8+11*(ROW()-13))</f>
        <v>0</v>
      </c>
      <c r="AF17" s="68" cm="1">
        <f t="array" ref="AF17" ca="1">INDIRECT("K"&amp;1+11*(ROW()-13))</f>
        <v>0</v>
      </c>
    </row>
    <row r="18" spans="1:32" ht="21">
      <c r="A18" s="196"/>
      <c r="B18" s="207"/>
      <c r="C18" s="20"/>
      <c r="D18" s="24"/>
      <c r="E18" s="25"/>
      <c r="F18" s="24"/>
      <c r="G18" s="22"/>
      <c r="H18" s="23" t="str">
        <f>IFERROR(MIN(D15:F17)/MAX(D15:F17),"")</f>
        <v/>
      </c>
      <c r="I18" s="196"/>
      <c r="J18" s="207"/>
      <c r="K18" s="20"/>
      <c r="L18" s="24"/>
      <c r="M18" s="25"/>
      <c r="N18" s="24"/>
      <c r="O18" s="22"/>
      <c r="P18" s="23" t="str">
        <f>IFERROR(MIN(L15:N17)/MAX(L15:N17),"")</f>
        <v/>
      </c>
      <c r="Q18" s="194"/>
      <c r="R18" s="194"/>
      <c r="S18" s="39" t="str">
        <f>IF(E21&lt;0.1,"",IF(H21&lt;Statistics!$G$7*(1-2*Statistics!$Q$1),FALSE,TRUE))</f>
        <v/>
      </c>
      <c r="T18" s="39" t="str">
        <f>IF(M21&lt;0.1,"",IF(P21&lt;Statistics!$G$7*(1-2*Statistics!$Q$1),FALSE,TRUE))</f>
        <v/>
      </c>
      <c r="V18" s="47"/>
      <c r="W18" s="3"/>
      <c r="X18" s="3"/>
      <c r="Y18" s="64" t="str">
        <f>IF(P61=0,"",P61)</f>
        <v/>
      </c>
      <c r="Z18" s="69" t="str">
        <f>IF(P62=0,"",P62)</f>
        <v/>
      </c>
      <c r="AA18" s="50" t="str">
        <f>IF(P64=0,"",P64)</f>
        <v/>
      </c>
      <c r="AB18" s="66" t="str">
        <f>IF(P65=0,"",P65)</f>
        <v/>
      </c>
      <c r="AE18" s="3" cm="1">
        <f t="array" ref="AE18" ca="1">INDIRECT("L"&amp;8+11*(ROW()-13))</f>
        <v>0</v>
      </c>
      <c r="AF18" s="68" cm="1">
        <f t="array" ref="AF18" ca="1">INDIRECT("K"&amp;1+11*(ROW()-13))</f>
        <v>0</v>
      </c>
    </row>
    <row r="19" spans="1:32" ht="21">
      <c r="A19" s="196"/>
      <c r="B19" s="200"/>
      <c r="C19" s="26" t="s">
        <v>81</v>
      </c>
      <c r="D19" s="215"/>
      <c r="E19" s="216"/>
      <c r="F19" s="216"/>
      <c r="G19" s="217"/>
      <c r="H19" s="27">
        <f>MAX(C14:G18,D20)</f>
        <v>0</v>
      </c>
      <c r="I19" s="196"/>
      <c r="J19" s="200"/>
      <c r="K19" s="26" t="s">
        <v>81</v>
      </c>
      <c r="L19" s="215"/>
      <c r="M19" s="216"/>
      <c r="N19" s="216"/>
      <c r="O19" s="217"/>
      <c r="P19" s="27">
        <f>MAX(K14:O18,L20)</f>
        <v>0</v>
      </c>
      <c r="Q19" s="194"/>
      <c r="R19" s="194"/>
      <c r="S19" s="39"/>
      <c r="T19" s="39"/>
      <c r="Y19" s="64" t="str">
        <f>IF(P72=0,"",P72)</f>
        <v/>
      </c>
      <c r="Z19" s="69" t="str">
        <f>IF(P73=0,"",P73)</f>
        <v/>
      </c>
      <c r="AA19" s="50" t="str">
        <f>IF(P75=0,"",P75)</f>
        <v/>
      </c>
      <c r="AB19" s="66" t="str">
        <f>IF(P76=0,"",P76)</f>
        <v/>
      </c>
      <c r="AE19" s="3" cm="1">
        <f t="array" ref="AE19" ca="1">INDIRECT("L"&amp;8+11*(ROW()-13))</f>
        <v>0</v>
      </c>
      <c r="AF19" s="68" cm="1">
        <f t="array" ref="AF19" ca="1">INDIRECT("K"&amp;1+11*(ROW()-13))</f>
        <v>0</v>
      </c>
    </row>
    <row r="20" spans="1:32" ht="21">
      <c r="A20" s="196"/>
      <c r="B20" s="218" t="s">
        <v>89</v>
      </c>
      <c r="C20" s="219"/>
      <c r="D20" s="220"/>
      <c r="E20" s="221"/>
      <c r="F20" s="222"/>
      <c r="G20" s="223"/>
      <c r="H20" s="28" t="str">
        <f>IFERROR(D20/F20,"")</f>
        <v/>
      </c>
      <c r="I20" s="196"/>
      <c r="J20" s="218" t="s">
        <v>89</v>
      </c>
      <c r="K20" s="219"/>
      <c r="L20" s="220"/>
      <c r="M20" s="221"/>
      <c r="N20" s="222"/>
      <c r="O20" s="223"/>
      <c r="P20" s="28" t="str">
        <f>IFERROR(L20/N20,"")</f>
        <v/>
      </c>
      <c r="Q20" s="194"/>
      <c r="R20" s="194"/>
      <c r="S20" s="39"/>
      <c r="T20" s="39"/>
      <c r="Y20" s="64" t="str">
        <f>IF(P83=0,"",P83)</f>
        <v/>
      </c>
      <c r="Z20" s="69" t="str">
        <f>IF(P84=0,"",P84)</f>
        <v/>
      </c>
      <c r="AA20" s="50" t="str">
        <f>IF(P86=0,"",P86)</f>
        <v/>
      </c>
      <c r="AB20" s="66" t="str">
        <f>IF(P87=0,"",P87)</f>
        <v/>
      </c>
      <c r="AE20" s="3" cm="1">
        <f t="array" ref="AE20" ca="1">INDIRECT("L"&amp;8+11*(ROW()-13))</f>
        <v>0</v>
      </c>
      <c r="AF20" s="68" cm="1">
        <f t="array" ref="AF20" ca="1">INDIRECT("K"&amp;1+11*(ROW()-13))</f>
        <v>0</v>
      </c>
    </row>
    <row r="21" spans="1:32" ht="21" customHeight="1">
      <c r="A21" s="196"/>
      <c r="B21" s="208" t="s">
        <v>90</v>
      </c>
      <c r="C21" s="209"/>
      <c r="D21" s="29"/>
      <c r="E21" s="30"/>
      <c r="F21" s="31"/>
      <c r="G21" s="32"/>
      <c r="H21" s="33">
        <f>0.5*ABS(E21*F22-E22*F21+F21*G22-F22*G21+G21*E22-G22*E21)/H22</f>
        <v>0</v>
      </c>
      <c r="I21" s="196"/>
      <c r="J21" s="208" t="s">
        <v>90</v>
      </c>
      <c r="K21" s="209"/>
      <c r="L21" s="29"/>
      <c r="M21" s="30"/>
      <c r="N21" s="31"/>
      <c r="O21" s="32"/>
      <c r="P21" s="33">
        <f>0.5*ABS(M21*N22-M22*N21+N21*O22-N22*O21+O21*M22-O22*M21)/P22</f>
        <v>0</v>
      </c>
      <c r="Q21" s="194"/>
      <c r="R21" s="194"/>
      <c r="S21" s="39"/>
      <c r="T21" s="39"/>
      <c r="Y21" s="64" t="str">
        <f>IF(P94=0,"",P94)</f>
        <v/>
      </c>
      <c r="Z21" s="69" t="str">
        <f>IF(P95=0,"",P95)</f>
        <v/>
      </c>
      <c r="AA21" s="50" t="str">
        <f>IF(P97=0,"",P97)</f>
        <v/>
      </c>
      <c r="AB21" s="66" t="str">
        <f>IF(P98=0,"",P98)</f>
        <v/>
      </c>
      <c r="AE21" s="3" cm="1">
        <f t="array" ref="AE21" ca="1">INDIRECT("L"&amp;8+11*(ROW()-13))</f>
        <v>0</v>
      </c>
      <c r="AF21" s="68" cm="1">
        <f t="array" ref="AF21" ca="1">INDIRECT("K"&amp;1+11*(ROW()-13))</f>
        <v>0</v>
      </c>
    </row>
    <row r="22" spans="1:32" ht="21">
      <c r="A22" s="197"/>
      <c r="B22" s="210"/>
      <c r="C22" s="211"/>
      <c r="D22" s="34"/>
      <c r="E22" s="35"/>
      <c r="F22" s="36"/>
      <c r="G22" s="37"/>
      <c r="H22" s="38">
        <f>0.5*ABS(0.674*0.712-0.218*0.326+0.218*0.08-0.14*0.712+0.14*0.326-0.674*0.08)</f>
        <v>0.15915000000000001</v>
      </c>
      <c r="I22" s="197"/>
      <c r="J22" s="210"/>
      <c r="K22" s="211"/>
      <c r="L22" s="34"/>
      <c r="M22" s="35"/>
      <c r="N22" s="36"/>
      <c r="O22" s="37"/>
      <c r="P22" s="38">
        <f>0.5*ABS(0.674*0.712-0.218*0.326+0.218*0.08-0.14*0.712+0.14*0.326-0.674*0.08)</f>
        <v>0.15915000000000001</v>
      </c>
      <c r="Q22" s="194"/>
      <c r="R22" s="194"/>
      <c r="S22" s="39"/>
      <c r="T22" s="39"/>
      <c r="Y22" s="70" t="str">
        <f>IF(P105=0,"",P105)</f>
        <v/>
      </c>
      <c r="Z22" s="71" t="str">
        <f>IF(P106=0,"",P106)</f>
        <v/>
      </c>
      <c r="AA22" s="72" t="str">
        <f>IF(P108=0,"",P108)</f>
        <v/>
      </c>
      <c r="AB22" s="73" t="str">
        <f>IF(P109=0,"",P109)</f>
        <v/>
      </c>
      <c r="AE22" s="3" cm="1">
        <f t="array" ref="AE22" ca="1">INDIRECT("L"&amp;8+11*(ROW()-13))</f>
        <v>0</v>
      </c>
      <c r="AF22" s="68" cm="1">
        <f t="array" ref="AF22" ca="1">INDIRECT("K"&amp;1+11*(ROW()-13))</f>
        <v>0</v>
      </c>
    </row>
    <row r="23" spans="1:32" ht="21">
      <c r="A23" s="195">
        <f>A12+1</f>
        <v>3</v>
      </c>
      <c r="B23" s="4" t="s">
        <v>75</v>
      </c>
      <c r="C23" s="205"/>
      <c r="D23" s="205"/>
      <c r="E23" s="205"/>
      <c r="F23" s="205"/>
      <c r="G23" s="205"/>
      <c r="H23" s="206"/>
      <c r="I23" s="195">
        <f>I12+1</f>
        <v>13</v>
      </c>
      <c r="J23" s="4" t="s">
        <v>75</v>
      </c>
      <c r="K23" s="205"/>
      <c r="L23" s="205"/>
      <c r="M23" s="205"/>
      <c r="N23" s="205"/>
      <c r="O23" s="205"/>
      <c r="P23" s="206"/>
      <c r="Q23" s="3"/>
      <c r="R23" s="3"/>
      <c r="S23" s="39"/>
      <c r="T23" s="39"/>
      <c r="Y23" s="69"/>
      <c r="Z23" s="69"/>
      <c r="AA23" s="50"/>
      <c r="AB23" s="69"/>
      <c r="AE23" s="68">
        <f ca="1">IFERROR(AVERAGEIF(AE3:AE22,"&gt;0"),0)</f>
        <v>0</v>
      </c>
      <c r="AF23" s="3"/>
    </row>
    <row r="24" spans="1:32" ht="21" customHeight="1">
      <c r="A24" s="196"/>
      <c r="B24" s="198" t="s">
        <v>76</v>
      </c>
      <c r="C24" s="5"/>
      <c r="D24" s="212" t="str">
        <f>IF(Statistics!$R$2,"Use '9 points' sheet !",Statistics!$Q$2)</f>
        <v>Use '9 points' sheet !</v>
      </c>
      <c r="E24" s="213"/>
      <c r="F24" s="213"/>
      <c r="G24" s="214"/>
      <c r="H24" s="6"/>
      <c r="I24" s="196"/>
      <c r="J24" s="198" t="s">
        <v>76</v>
      </c>
      <c r="K24" s="5"/>
      <c r="L24" s="212" t="str">
        <f>IF(Statistics!$R$2,"Use '9 points' sheet !",Statistics!$Q$2)</f>
        <v>Use '9 points' sheet !</v>
      </c>
      <c r="M24" s="213"/>
      <c r="N24" s="213"/>
      <c r="O24" s="214"/>
      <c r="P24" s="6"/>
      <c r="Q24" s="194" t="str">
        <f>IF(Statistics!$R$2,"不可以用这一页, 需要打开下一页‘9 points’!",CONCATENATE(IF(S24="","要测试九个点和白墙亮度; ",IF(S24,,"工厂模式白屏亮度不够, 再一次确认下; ")),IF(S25="","要测试白黑屏亮度; ",IF(S25,,"工厂模式黑屏亮度太大, 再一次确认下; ")),IF(S27="","要测试九个点亮度; ",IF(S27,,"9个白点之间的亮度差异太高, 再一次确认下; ")),IF(S29="","要测试四个颜色; ",IF(S29,,"3个红绿蓝颜色不太对的, 再一次确认下")),IF(H25&gt;D31,"告诉Vova和工厂业务电视软件有大问题: 客人模式亮度不应该比工厂模式亮度还高","")))</f>
        <v>不可以用这一页, 需要打开下一页‘9 points’!</v>
      </c>
      <c r="R24" s="194" t="str">
        <f>IF(Statistics!$R$2,"不可以用这一页, 需要打开下一页‘9 points’!",CONCATENATE(IF(T24="","要测试九个点和白墙亮度; ",IF(T24,,"工厂模式白屏亮度不够, 再一次确认下; ")),IF(T25="","要测试白黑屏亮度; ",IF(T25,,"工厂模式黑屏亮度太大, 再一次确认下; ")),IF(T27="","要测试九个点亮度; ",IF(T27,,"9个白点之间的亮度差异太高, 再一次确认下; ")),IF(T29="","要测试四个颜色; ",IF(T29,,"3个红绿蓝颜色不太对的, 再一次确认下")),IF(P25&gt;L31,"告诉Vova和工厂业务电视软件有大问题: 客人模式亮度不应该比工厂模式亮度还高","")))</f>
        <v>不可以用这一页, 需要打开下一页‘9 points’!</v>
      </c>
      <c r="S24" s="39" t="str">
        <f>IF(D31&lt;1,"",IF(H30&lt;Statistics!$G$2*(1-Statistics!$Q$1),FALSE,TRUE))</f>
        <v/>
      </c>
      <c r="T24" s="39" t="str">
        <f>IF(L31&lt;1,"",IF(P30&lt;Statistics!$G$2*(1-Statistics!$Q$1),FALSE,TRUE))</f>
        <v/>
      </c>
      <c r="Y24" s="69"/>
      <c r="Z24" s="69"/>
      <c r="AE24" s="3" cm="1">
        <f t="array" ref="AE24" ca="1">INDEX(AE3:AE22,MATCH(MIN(ABS(AE3:AE22-AE23)),ABS(AE3:AE22-AE23),0))</f>
        <v>0</v>
      </c>
      <c r="AF24" s="3">
        <f ca="1">VLOOKUP(AE24,AE3:AF22,2,0)</f>
        <v>0</v>
      </c>
    </row>
    <row r="25" spans="1:32" ht="21">
      <c r="A25" s="196"/>
      <c r="B25" s="207"/>
      <c r="C25" s="7"/>
      <c r="D25" s="8"/>
      <c r="E25" s="9"/>
      <c r="F25" s="8"/>
      <c r="G25" s="10"/>
      <c r="H25" s="11">
        <f>MAX(C25:G29)</f>
        <v>0</v>
      </c>
      <c r="I25" s="196"/>
      <c r="J25" s="207"/>
      <c r="K25" s="7"/>
      <c r="L25" s="8"/>
      <c r="M25" s="9"/>
      <c r="N25" s="8"/>
      <c r="O25" s="10"/>
      <c r="P25" s="11">
        <f>MAX(K25:O29)</f>
        <v>0</v>
      </c>
      <c r="Q25" s="194"/>
      <c r="R25" s="194"/>
      <c r="S25" s="39" t="str">
        <f>IF(F31=0,"",IF(H31&lt;Statistics!$G$5*(1-Statistics!$Q$1),FALSE,TRUE))</f>
        <v/>
      </c>
      <c r="T25" s="39" t="str">
        <f>IF(N31=0,"",IF(P31&lt;Statistics!$G$5*(1-Statistics!$Q$1),FALSE,TRUE))</f>
        <v/>
      </c>
    </row>
    <row r="26" spans="1:32" ht="21">
      <c r="A26" s="196"/>
      <c r="B26" s="207"/>
      <c r="C26" s="12"/>
      <c r="D26" s="7"/>
      <c r="E26" s="13"/>
      <c r="F26" s="10"/>
      <c r="G26" s="14"/>
      <c r="H26" s="11">
        <f>MAX(D26:F28)</f>
        <v>0</v>
      </c>
      <c r="I26" s="196"/>
      <c r="J26" s="207"/>
      <c r="K26" s="12"/>
      <c r="L26" s="7"/>
      <c r="M26" s="13"/>
      <c r="N26" s="10"/>
      <c r="O26" s="14"/>
      <c r="P26" s="11">
        <f>MAX(L26:N28)</f>
        <v>0</v>
      </c>
      <c r="Q26" s="194"/>
      <c r="R26" s="194"/>
      <c r="S26" s="39" t="str">
        <f>IF(E27=0,"",IF(H28&lt;Statistics!$G$3*(1-Statistics!$Q$1),FALSE,TRUE))</f>
        <v/>
      </c>
      <c r="T26" s="39" t="str">
        <f>IF(M27=0,"",IF(P28&lt;Statistics!$G$3*(1-Statistics!$Q$1),FALSE,TRUE))</f>
        <v/>
      </c>
    </row>
    <row r="27" spans="1:32" ht="21">
      <c r="A27" s="196"/>
      <c r="B27" s="207"/>
      <c r="C27" s="15"/>
      <c r="D27" s="16"/>
      <c r="E27" s="17"/>
      <c r="F27" s="18"/>
      <c r="G27" s="19"/>
      <c r="H27" s="11"/>
      <c r="I27" s="196"/>
      <c r="J27" s="207"/>
      <c r="K27" s="15"/>
      <c r="L27" s="16"/>
      <c r="M27" s="17"/>
      <c r="N27" s="18"/>
      <c r="O27" s="19"/>
      <c r="P27" s="11"/>
      <c r="Q27" s="194"/>
      <c r="R27" s="194"/>
      <c r="S27" s="39" t="str">
        <f>IF(E27=0,"",IF(H29&lt;Statistics!$G$4*(1-Statistics!$Q$1),FALSE,TRUE))</f>
        <v/>
      </c>
      <c r="T27" s="39" t="str">
        <f>IF(M27=0,"",IF(P29&lt;Statistics!$G$4*(1-Statistics!$Q$1),FALSE,TRUE))</f>
        <v/>
      </c>
    </row>
    <row r="28" spans="1:32" ht="21">
      <c r="A28" s="196"/>
      <c r="B28" s="207"/>
      <c r="C28" s="12"/>
      <c r="D28" s="20"/>
      <c r="E28" s="21"/>
      <c r="F28" s="22"/>
      <c r="G28" s="14"/>
      <c r="H28" s="23" t="str">
        <f>IFERROR(MIN(C25:G29)/MAX(C25:G29),"")</f>
        <v/>
      </c>
      <c r="I28" s="196"/>
      <c r="J28" s="207"/>
      <c r="K28" s="12"/>
      <c r="L28" s="20"/>
      <c r="M28" s="21"/>
      <c r="N28" s="22"/>
      <c r="O28" s="14"/>
      <c r="P28" s="23" t="str">
        <f>IFERROR(MIN(K25:O29)/MAX(K25:O29),"")</f>
        <v/>
      </c>
      <c r="Q28" s="194"/>
      <c r="R28" s="194"/>
      <c r="S28" s="39"/>
      <c r="T28" s="39"/>
    </row>
    <row r="29" spans="1:32" ht="21">
      <c r="A29" s="196"/>
      <c r="B29" s="207"/>
      <c r="C29" s="20"/>
      <c r="D29" s="24"/>
      <c r="E29" s="25"/>
      <c r="F29" s="24"/>
      <c r="G29" s="22"/>
      <c r="H29" s="23" t="str">
        <f>IFERROR(MIN(D26:F28)/MAX(D26:F28),"")</f>
        <v/>
      </c>
      <c r="I29" s="196"/>
      <c r="J29" s="207"/>
      <c r="K29" s="20"/>
      <c r="L29" s="24"/>
      <c r="M29" s="25"/>
      <c r="N29" s="24"/>
      <c r="O29" s="22"/>
      <c r="P29" s="23" t="str">
        <f>IFERROR(MIN(L26:N28)/MAX(L26:N28),"")</f>
        <v/>
      </c>
      <c r="Q29" s="194"/>
      <c r="R29" s="194"/>
      <c r="S29" s="39" t="str">
        <f>IF(E32&lt;0.1,"",IF(H32&lt;Statistics!$G$7*(1-2*Statistics!$Q$1),FALSE,TRUE))</f>
        <v/>
      </c>
      <c r="T29" s="39" t="str">
        <f>IF(M32&lt;0.1,"",IF(P32&lt;Statistics!$G$7*(1-2*Statistics!$Q$1),FALSE,TRUE))</f>
        <v/>
      </c>
    </row>
    <row r="30" spans="1:32" ht="21">
      <c r="A30" s="196"/>
      <c r="B30" s="200"/>
      <c r="C30" s="26" t="s">
        <v>81</v>
      </c>
      <c r="D30" s="215"/>
      <c r="E30" s="216"/>
      <c r="F30" s="216"/>
      <c r="G30" s="217"/>
      <c r="H30" s="27">
        <f>MAX(C25:G29,D31)</f>
        <v>0</v>
      </c>
      <c r="I30" s="196"/>
      <c r="J30" s="200"/>
      <c r="K30" s="26" t="s">
        <v>81</v>
      </c>
      <c r="L30" s="215"/>
      <c r="M30" s="216"/>
      <c r="N30" s="216"/>
      <c r="O30" s="217"/>
      <c r="P30" s="27">
        <f>MAX(K25:O29,L31)</f>
        <v>0</v>
      </c>
      <c r="Q30" s="194"/>
      <c r="R30" s="194"/>
      <c r="S30" s="39"/>
      <c r="T30" s="39"/>
    </row>
    <row r="31" spans="1:32" ht="21">
      <c r="A31" s="196"/>
      <c r="B31" s="218" t="s">
        <v>89</v>
      </c>
      <c r="C31" s="219"/>
      <c r="D31" s="220"/>
      <c r="E31" s="221"/>
      <c r="F31" s="222"/>
      <c r="G31" s="223"/>
      <c r="H31" s="28" t="str">
        <f>IFERROR(D31/F31,"")</f>
        <v/>
      </c>
      <c r="I31" s="196"/>
      <c r="J31" s="218" t="s">
        <v>89</v>
      </c>
      <c r="K31" s="219"/>
      <c r="L31" s="220"/>
      <c r="M31" s="221"/>
      <c r="N31" s="222"/>
      <c r="O31" s="223"/>
      <c r="P31" s="28" t="str">
        <f>IFERROR(L31/N31,"")</f>
        <v/>
      </c>
      <c r="Q31" s="194"/>
      <c r="R31" s="194"/>
      <c r="S31" s="39"/>
      <c r="T31" s="39"/>
    </row>
    <row r="32" spans="1:32" ht="21" customHeight="1">
      <c r="A32" s="196"/>
      <c r="B32" s="208" t="s">
        <v>90</v>
      </c>
      <c r="C32" s="209"/>
      <c r="D32" s="29"/>
      <c r="E32" s="30"/>
      <c r="F32" s="31"/>
      <c r="G32" s="32"/>
      <c r="H32" s="33">
        <f>0.5*ABS(E32*F33-E33*F32+F32*G33-F33*G32+G32*E33-G33*E32)/H33</f>
        <v>0</v>
      </c>
      <c r="I32" s="196"/>
      <c r="J32" s="208" t="s">
        <v>90</v>
      </c>
      <c r="K32" s="209"/>
      <c r="L32" s="29"/>
      <c r="M32" s="30"/>
      <c r="N32" s="31"/>
      <c r="O32" s="32"/>
      <c r="P32" s="33">
        <f>0.5*ABS(M32*N33-M33*N32+N32*O33-N33*O32+O32*M33-O33*M32)/P33</f>
        <v>0</v>
      </c>
      <c r="Q32" s="194"/>
      <c r="R32" s="194"/>
      <c r="S32" s="39"/>
      <c r="T32" s="39"/>
    </row>
    <row r="33" spans="1:20" ht="21">
      <c r="A33" s="197"/>
      <c r="B33" s="210"/>
      <c r="C33" s="211"/>
      <c r="D33" s="34"/>
      <c r="E33" s="35"/>
      <c r="F33" s="36"/>
      <c r="G33" s="37"/>
      <c r="H33" s="38">
        <f>0.5*ABS(0.674*0.712-0.218*0.326+0.218*0.08-0.14*0.712+0.14*0.326-0.674*0.08)</f>
        <v>0.15915000000000001</v>
      </c>
      <c r="I33" s="197"/>
      <c r="J33" s="210"/>
      <c r="K33" s="211"/>
      <c r="L33" s="34"/>
      <c r="M33" s="35"/>
      <c r="N33" s="36"/>
      <c r="O33" s="37"/>
      <c r="P33" s="38">
        <f>0.5*ABS(0.674*0.712-0.218*0.326+0.218*0.08-0.14*0.712+0.14*0.326-0.674*0.08)</f>
        <v>0.15915000000000001</v>
      </c>
      <c r="Q33" s="194"/>
      <c r="R33" s="194"/>
      <c r="S33" s="39"/>
      <c r="T33" s="39"/>
    </row>
    <row r="34" spans="1:20" ht="21">
      <c r="A34" s="195">
        <f>A23+1</f>
        <v>4</v>
      </c>
      <c r="B34" s="4" t="s">
        <v>75</v>
      </c>
      <c r="C34" s="205"/>
      <c r="D34" s="205"/>
      <c r="E34" s="205"/>
      <c r="F34" s="205"/>
      <c r="G34" s="205"/>
      <c r="H34" s="206"/>
      <c r="I34" s="195">
        <f>I23+1</f>
        <v>14</v>
      </c>
      <c r="J34" s="4" t="s">
        <v>75</v>
      </c>
      <c r="K34" s="205"/>
      <c r="L34" s="205"/>
      <c r="M34" s="205"/>
      <c r="N34" s="205"/>
      <c r="O34" s="205"/>
      <c r="P34" s="206"/>
      <c r="Q34" s="3"/>
      <c r="R34" s="3"/>
      <c r="S34" s="39"/>
      <c r="T34" s="39"/>
    </row>
    <row r="35" spans="1:20" ht="21" customHeight="1">
      <c r="A35" s="196"/>
      <c r="B35" s="198" t="s">
        <v>76</v>
      </c>
      <c r="C35" s="5"/>
      <c r="D35" s="212" t="str">
        <f>IF(Statistics!$R$2,"Use '9 points' sheet !",Statistics!$Q$2)</f>
        <v>Use '9 points' sheet !</v>
      </c>
      <c r="E35" s="213"/>
      <c r="F35" s="213"/>
      <c r="G35" s="214"/>
      <c r="H35" s="6"/>
      <c r="I35" s="196"/>
      <c r="J35" s="198" t="s">
        <v>76</v>
      </c>
      <c r="K35" s="5"/>
      <c r="L35" s="212" t="str">
        <f>IF(Statistics!$R$2,"Use '9 points' sheet !",Statistics!$Q$2)</f>
        <v>Use '9 points' sheet !</v>
      </c>
      <c r="M35" s="213"/>
      <c r="N35" s="213"/>
      <c r="O35" s="214"/>
      <c r="P35" s="6"/>
      <c r="Q35" s="194" t="str">
        <f>IF(Statistics!$R$2,"不可以用这一页, 需要打开下一页‘9 points’!",CONCATENATE(IF(S35="","要测试九个点和白墙亮度; ",IF(S35,,"工厂模式白屏亮度不够, 再一次确认下; ")),IF(S36="","要测试白黑屏亮度; ",IF(S36,,"工厂模式黑屏亮度太大, 再一次确认下; ")),IF(S38="","要测试九个点亮度; ",IF(S38,,"9个白点之间的亮度差异太高, 再一次确认下; ")),IF(S40="","要测试四个颜色; ",IF(S40,,"3个红绿蓝颜色不太对的, 再一次确认下")),IF(H36&gt;D42,"告诉Vova和工厂业务电视软件有大问题: 客人模式亮度不应该比工厂模式亮度还高","")))</f>
        <v>不可以用这一页, 需要打开下一页‘9 points’!</v>
      </c>
      <c r="R35" s="194" t="str">
        <f>IF(Statistics!$R$2,"不可以用这一页, 需要打开下一页‘9 points’!",CONCATENATE(IF(T35="","要测试九个点和白墙亮度; ",IF(T35,,"工厂模式白屏亮度不够, 再一次确认下; ")),IF(T36="","要测试白黑屏亮度; ",IF(T36,,"工厂模式黑屏亮度太大, 再一次确认下; ")),IF(T38="","要测试九个点亮度; ",IF(T38,,"9个白点之间的亮度差异太高, 再一次确认下; ")),IF(T40="","要测试四个颜色; ",IF(T40,,"3个红绿蓝颜色不太对的, 再一次确认下")),IF(P36&gt;L42,"告诉Vova和工厂业务电视软件有大问题: 客人模式亮度不应该比工厂模式亮度还高","")))</f>
        <v>不可以用这一页, 需要打开下一页‘9 points’!</v>
      </c>
      <c r="S35" s="39" t="str">
        <f>IF(D42&lt;1,"",IF(H41&lt;Statistics!$G$2*(1-Statistics!$Q$1),FALSE,TRUE))</f>
        <v/>
      </c>
      <c r="T35" s="39" t="str">
        <f>IF(L42&lt;1,"",IF(P41&lt;Statistics!$G$2*(1-Statistics!$Q$1),FALSE,TRUE))</f>
        <v/>
      </c>
    </row>
    <row r="36" spans="1:20" ht="21">
      <c r="A36" s="196"/>
      <c r="B36" s="207"/>
      <c r="C36" s="7"/>
      <c r="D36" s="8"/>
      <c r="E36" s="9"/>
      <c r="F36" s="8"/>
      <c r="G36" s="10"/>
      <c r="H36" s="11">
        <f>MAX(C36:G40)</f>
        <v>0</v>
      </c>
      <c r="I36" s="196"/>
      <c r="J36" s="207"/>
      <c r="K36" s="7"/>
      <c r="L36" s="8"/>
      <c r="M36" s="9"/>
      <c r="N36" s="8"/>
      <c r="O36" s="10"/>
      <c r="P36" s="11">
        <f>MAX(K36:O40)</f>
        <v>0</v>
      </c>
      <c r="Q36" s="194"/>
      <c r="R36" s="194"/>
      <c r="S36" s="39" t="str">
        <f>IF(F42=0,"",IF(H42&lt;Statistics!$G$5*(1-Statistics!$Q$1),FALSE,TRUE))</f>
        <v/>
      </c>
      <c r="T36" s="39" t="str">
        <f>IF(N42=0,"",IF(P42&lt;Statistics!$G$5*(1-Statistics!$Q$1),FALSE,TRUE))</f>
        <v/>
      </c>
    </row>
    <row r="37" spans="1:20" ht="21">
      <c r="A37" s="196"/>
      <c r="B37" s="207"/>
      <c r="C37" s="12"/>
      <c r="D37" s="7"/>
      <c r="E37" s="13"/>
      <c r="F37" s="10"/>
      <c r="G37" s="14"/>
      <c r="H37" s="11">
        <f>MAX(D37:F39)</f>
        <v>0</v>
      </c>
      <c r="I37" s="196"/>
      <c r="J37" s="207"/>
      <c r="K37" s="12"/>
      <c r="L37" s="7"/>
      <c r="M37" s="13"/>
      <c r="N37" s="10"/>
      <c r="O37" s="14"/>
      <c r="P37" s="11">
        <f>MAX(L37:N39)</f>
        <v>0</v>
      </c>
      <c r="Q37" s="194"/>
      <c r="R37" s="194"/>
      <c r="S37" s="39" t="str">
        <f>IF(E38=0,"",IF(H39&lt;Statistics!$G$3*(1-Statistics!$Q$1),FALSE,TRUE))</f>
        <v/>
      </c>
      <c r="T37" s="39" t="str">
        <f>IF(M38=0,"",IF(P39&lt;Statistics!$G$3*(1-Statistics!$Q$1),FALSE,TRUE))</f>
        <v/>
      </c>
    </row>
    <row r="38" spans="1:20" ht="21">
      <c r="A38" s="196"/>
      <c r="B38" s="207"/>
      <c r="C38" s="15"/>
      <c r="D38" s="16"/>
      <c r="E38" s="17"/>
      <c r="F38" s="18"/>
      <c r="G38" s="19"/>
      <c r="H38" s="11"/>
      <c r="I38" s="196"/>
      <c r="J38" s="207"/>
      <c r="K38" s="15"/>
      <c r="L38" s="16"/>
      <c r="M38" s="17"/>
      <c r="N38" s="18"/>
      <c r="O38" s="19"/>
      <c r="P38" s="11"/>
      <c r="Q38" s="194"/>
      <c r="R38" s="194"/>
      <c r="S38" s="39" t="str">
        <f>IF(E38=0,"",IF(H40&lt;Statistics!$G$4*(1-Statistics!$Q$1),FALSE,TRUE))</f>
        <v/>
      </c>
      <c r="T38" s="39" t="str">
        <f>IF(M38=0,"",IF(P40&lt;Statistics!$G$4*(1-Statistics!$Q$1),FALSE,TRUE))</f>
        <v/>
      </c>
    </row>
    <row r="39" spans="1:20" ht="21">
      <c r="A39" s="196"/>
      <c r="B39" s="207"/>
      <c r="C39" s="12"/>
      <c r="D39" s="20"/>
      <c r="E39" s="21"/>
      <c r="F39" s="22"/>
      <c r="G39" s="14"/>
      <c r="H39" s="23" t="str">
        <f>IFERROR(MIN(C36:G40)/MAX(C36:G40),"")</f>
        <v/>
      </c>
      <c r="I39" s="196"/>
      <c r="J39" s="207"/>
      <c r="K39" s="12"/>
      <c r="L39" s="20"/>
      <c r="M39" s="21"/>
      <c r="N39" s="22"/>
      <c r="O39" s="14"/>
      <c r="P39" s="23" t="str">
        <f>IFERROR(MIN(K36:O40)/MAX(K36:O40),"")</f>
        <v/>
      </c>
      <c r="Q39" s="194"/>
      <c r="R39" s="194"/>
      <c r="S39" s="39"/>
      <c r="T39" s="39"/>
    </row>
    <row r="40" spans="1:20" ht="21">
      <c r="A40" s="196"/>
      <c r="B40" s="207"/>
      <c r="C40" s="20"/>
      <c r="D40" s="24"/>
      <c r="E40" s="25"/>
      <c r="F40" s="24"/>
      <c r="G40" s="22"/>
      <c r="H40" s="23" t="str">
        <f>IFERROR(MIN(D37:F39)/MAX(D37:F39),"")</f>
        <v/>
      </c>
      <c r="I40" s="196"/>
      <c r="J40" s="207"/>
      <c r="K40" s="20"/>
      <c r="L40" s="24"/>
      <c r="M40" s="25"/>
      <c r="N40" s="24"/>
      <c r="O40" s="22"/>
      <c r="P40" s="23" t="str">
        <f>IFERROR(MIN(L37:N39)/MAX(L37:N39),"")</f>
        <v/>
      </c>
      <c r="Q40" s="194"/>
      <c r="R40" s="194"/>
      <c r="S40" s="39" t="str">
        <f>IF(E43&lt;0.1,"",IF(H43&lt;Statistics!$G$7*(1-2*Statistics!$Q$1),FALSE,TRUE))</f>
        <v/>
      </c>
      <c r="T40" s="39" t="str">
        <f>IF(M43&lt;0.1,"",IF(P43&lt;Statistics!$G$7*(1-2*Statistics!$Q$1),FALSE,TRUE))</f>
        <v/>
      </c>
    </row>
    <row r="41" spans="1:20" ht="21">
      <c r="A41" s="196"/>
      <c r="B41" s="200"/>
      <c r="C41" s="26" t="s">
        <v>81</v>
      </c>
      <c r="D41" s="215"/>
      <c r="E41" s="216"/>
      <c r="F41" s="216"/>
      <c r="G41" s="217"/>
      <c r="H41" s="27">
        <f>MAX(C36:G40,D42)</f>
        <v>0</v>
      </c>
      <c r="I41" s="196"/>
      <c r="J41" s="200"/>
      <c r="K41" s="26" t="s">
        <v>81</v>
      </c>
      <c r="L41" s="215"/>
      <c r="M41" s="216"/>
      <c r="N41" s="216"/>
      <c r="O41" s="217"/>
      <c r="P41" s="27">
        <f>MAX(K36:O40,L42)</f>
        <v>0</v>
      </c>
      <c r="Q41" s="194"/>
      <c r="R41" s="194"/>
      <c r="S41" s="39"/>
      <c r="T41" s="39"/>
    </row>
    <row r="42" spans="1:20" ht="21">
      <c r="A42" s="196"/>
      <c r="B42" s="218" t="s">
        <v>89</v>
      </c>
      <c r="C42" s="219"/>
      <c r="D42" s="220"/>
      <c r="E42" s="221"/>
      <c r="F42" s="222"/>
      <c r="G42" s="223"/>
      <c r="H42" s="28" t="str">
        <f>IFERROR(D42/F42,"")</f>
        <v/>
      </c>
      <c r="I42" s="196"/>
      <c r="J42" s="218" t="s">
        <v>89</v>
      </c>
      <c r="K42" s="219"/>
      <c r="L42" s="220"/>
      <c r="M42" s="221"/>
      <c r="N42" s="222"/>
      <c r="O42" s="223"/>
      <c r="P42" s="28" t="str">
        <f>IFERROR(L42/N42,"")</f>
        <v/>
      </c>
      <c r="Q42" s="194"/>
      <c r="R42" s="194"/>
      <c r="S42" s="39"/>
      <c r="T42" s="39"/>
    </row>
    <row r="43" spans="1:20" ht="21" customHeight="1">
      <c r="A43" s="196"/>
      <c r="B43" s="208" t="s">
        <v>90</v>
      </c>
      <c r="C43" s="209"/>
      <c r="D43" s="29"/>
      <c r="E43" s="30"/>
      <c r="F43" s="31"/>
      <c r="G43" s="32"/>
      <c r="H43" s="33">
        <f>0.5*ABS(E43*F44-E44*F43+F43*G44-F44*G43+G43*E44-G44*E43)/H44</f>
        <v>0</v>
      </c>
      <c r="I43" s="196"/>
      <c r="J43" s="208" t="s">
        <v>90</v>
      </c>
      <c r="K43" s="209"/>
      <c r="L43" s="29"/>
      <c r="M43" s="30"/>
      <c r="N43" s="31"/>
      <c r="O43" s="32"/>
      <c r="P43" s="33">
        <f>0.5*ABS(M43*N44-M44*N43+N43*O44-N44*O43+O43*M44-O44*M43)/P44</f>
        <v>0</v>
      </c>
      <c r="Q43" s="194"/>
      <c r="R43" s="194"/>
      <c r="S43" s="39"/>
      <c r="T43" s="39"/>
    </row>
    <row r="44" spans="1:20" ht="21">
      <c r="A44" s="197"/>
      <c r="B44" s="210"/>
      <c r="C44" s="211"/>
      <c r="D44" s="34"/>
      <c r="E44" s="35"/>
      <c r="F44" s="36"/>
      <c r="G44" s="37"/>
      <c r="H44" s="38">
        <f>0.5*ABS(0.674*0.712-0.218*0.326+0.218*0.08-0.14*0.712+0.14*0.326-0.674*0.08)</f>
        <v>0.15915000000000001</v>
      </c>
      <c r="I44" s="197"/>
      <c r="J44" s="210"/>
      <c r="K44" s="211"/>
      <c r="L44" s="34"/>
      <c r="M44" s="35"/>
      <c r="N44" s="36"/>
      <c r="O44" s="37"/>
      <c r="P44" s="38">
        <f>0.5*ABS(0.674*0.712-0.218*0.326+0.218*0.08-0.14*0.712+0.14*0.326-0.674*0.08)</f>
        <v>0.15915000000000001</v>
      </c>
      <c r="Q44" s="194"/>
      <c r="R44" s="194"/>
      <c r="S44" s="39"/>
      <c r="T44" s="39"/>
    </row>
    <row r="45" spans="1:20" ht="21">
      <c r="A45" s="195">
        <f>A34+1</f>
        <v>5</v>
      </c>
      <c r="B45" s="4" t="s">
        <v>75</v>
      </c>
      <c r="C45" s="205"/>
      <c r="D45" s="205"/>
      <c r="E45" s="205"/>
      <c r="F45" s="205"/>
      <c r="G45" s="205"/>
      <c r="H45" s="206"/>
      <c r="I45" s="195">
        <f>I34+1</f>
        <v>15</v>
      </c>
      <c r="J45" s="4" t="s">
        <v>75</v>
      </c>
      <c r="K45" s="205"/>
      <c r="L45" s="205"/>
      <c r="M45" s="205"/>
      <c r="N45" s="205"/>
      <c r="O45" s="205"/>
      <c r="P45" s="206"/>
      <c r="Q45" s="3"/>
      <c r="R45" s="3"/>
      <c r="S45" s="39"/>
      <c r="T45" s="39"/>
    </row>
    <row r="46" spans="1:20" ht="21" customHeight="1">
      <c r="A46" s="196"/>
      <c r="B46" s="198" t="s">
        <v>76</v>
      </c>
      <c r="C46" s="5"/>
      <c r="D46" s="212" t="str">
        <f>IF(Statistics!$R$2,"Use '9 points' sheet !",Statistics!$Q$2)</f>
        <v>Use '9 points' sheet !</v>
      </c>
      <c r="E46" s="213"/>
      <c r="F46" s="213"/>
      <c r="G46" s="214"/>
      <c r="H46" s="6"/>
      <c r="I46" s="196"/>
      <c r="J46" s="198" t="s">
        <v>76</v>
      </c>
      <c r="K46" s="5"/>
      <c r="L46" s="212" t="str">
        <f>IF(Statistics!$R$2,"Use '9 points' sheet !",Statistics!$Q$2)</f>
        <v>Use '9 points' sheet !</v>
      </c>
      <c r="M46" s="213"/>
      <c r="N46" s="213"/>
      <c r="O46" s="214"/>
      <c r="P46" s="6"/>
      <c r="Q46" s="194" t="str">
        <f>IF(Statistics!$R$2,"不可以用这一页, 需要打开下一页‘9 points’!",CONCATENATE(IF(S46="","要测试九个点和白墙亮度; ",IF(S46,,"工厂模式白屏亮度不够, 再一次确认下; ")),IF(S47="","要测试白黑屏亮度; ",IF(S47,,"工厂模式黑屏亮度太大, 再一次确认下; ")),IF(S49="","要测试九个点亮度; ",IF(S49,,"9个白点之间的亮度差异太高, 再一次确认下; ")),IF(S51="","要测试四个颜色; ",IF(S51,,"3个红绿蓝颜色不太对的, 再一次确认下")),IF(H47&gt;D53,"告诉Vova和工厂业务电视软件有大问题: 客人模式亮度不应该比工厂模式亮度还高","")))</f>
        <v>不可以用这一页, 需要打开下一页‘9 points’!</v>
      </c>
      <c r="R46" s="194" t="str">
        <f>IF(Statistics!$R$2,"不可以用这一页, 需要打开下一页‘9 points’!",CONCATENATE(IF(T46="","要测试九个点和白墙亮度; ",IF(T46,,"工厂模式白屏亮度不够, 再一次确认下; ")),IF(T47="","要测试白黑屏亮度; ",IF(T47,,"工厂模式黑屏亮度太大, 再一次确认下; ")),IF(T49="","要测试九个点亮度; ",IF(T49,,"9个白点之间的亮度差异太高, 再一次确认下; ")),IF(T51="","要测试四个颜色; ",IF(T51,,"3个红绿蓝颜色不太对的, 再一次确认下")),IF(P47&gt;L53,"告诉Vova和工厂业务电视软件有大问题: 客人模式亮度不应该比工厂模式亮度还高","")))</f>
        <v>不可以用这一页, 需要打开下一页‘9 points’!</v>
      </c>
      <c r="S46" s="39" t="str">
        <f>IF(D53&lt;1,"",IF(H52&lt;Statistics!$G$2*(1-Statistics!$Q$1),FALSE,TRUE))</f>
        <v/>
      </c>
      <c r="T46" s="39" t="str">
        <f>IF(L53&lt;1,"",IF(P52&lt;Statistics!$G$2*(1-Statistics!$Q$1),FALSE,TRUE))</f>
        <v/>
      </c>
    </row>
    <row r="47" spans="1:20" ht="21">
      <c r="A47" s="196"/>
      <c r="B47" s="207"/>
      <c r="C47" s="7"/>
      <c r="D47" s="8"/>
      <c r="E47" s="9"/>
      <c r="F47" s="8"/>
      <c r="G47" s="10"/>
      <c r="H47" s="11">
        <f>MAX(C47:G51)</f>
        <v>0</v>
      </c>
      <c r="I47" s="196"/>
      <c r="J47" s="207"/>
      <c r="K47" s="7"/>
      <c r="L47" s="8"/>
      <c r="M47" s="9"/>
      <c r="N47" s="8"/>
      <c r="O47" s="10"/>
      <c r="P47" s="11">
        <f>MAX(K47:O51)</f>
        <v>0</v>
      </c>
      <c r="Q47" s="194"/>
      <c r="R47" s="194"/>
      <c r="S47" s="39" t="str">
        <f>IF(F53=0,"",IF(H53&lt;Statistics!$G$5*(1-Statistics!$Q$1),FALSE,TRUE))</f>
        <v/>
      </c>
      <c r="T47" s="39" t="str">
        <f>IF(N53=0,"",IF(P53&lt;Statistics!$G$5*(1-Statistics!$Q$1),FALSE,TRUE))</f>
        <v/>
      </c>
    </row>
    <row r="48" spans="1:20" ht="21">
      <c r="A48" s="196"/>
      <c r="B48" s="207"/>
      <c r="C48" s="12"/>
      <c r="D48" s="7"/>
      <c r="E48" s="13"/>
      <c r="F48" s="10"/>
      <c r="G48" s="14"/>
      <c r="H48" s="11">
        <f>MAX(D48:F50)</f>
        <v>0</v>
      </c>
      <c r="I48" s="196"/>
      <c r="J48" s="207"/>
      <c r="K48" s="12"/>
      <c r="L48" s="7"/>
      <c r="M48" s="13"/>
      <c r="N48" s="10"/>
      <c r="O48" s="14"/>
      <c r="P48" s="11">
        <f>MAX(L48:N50)</f>
        <v>0</v>
      </c>
      <c r="Q48" s="194"/>
      <c r="R48" s="194"/>
      <c r="S48" s="39" t="str">
        <f>IF(E49=0,"",IF(H50&lt;Statistics!$G$3*(1-Statistics!$Q$1),FALSE,TRUE))</f>
        <v/>
      </c>
      <c r="T48" s="39" t="str">
        <f>IF(M49=0,"",IF(P50&lt;Statistics!$G$3*(1-Statistics!$Q$1),FALSE,TRUE))</f>
        <v/>
      </c>
    </row>
    <row r="49" spans="1:20" ht="21">
      <c r="A49" s="196"/>
      <c r="B49" s="207"/>
      <c r="C49" s="15"/>
      <c r="D49" s="16"/>
      <c r="E49" s="17"/>
      <c r="F49" s="18"/>
      <c r="G49" s="19"/>
      <c r="H49" s="11"/>
      <c r="I49" s="196"/>
      <c r="J49" s="207"/>
      <c r="K49" s="15"/>
      <c r="L49" s="16"/>
      <c r="M49" s="17"/>
      <c r="N49" s="18"/>
      <c r="O49" s="19"/>
      <c r="P49" s="11"/>
      <c r="Q49" s="194"/>
      <c r="R49" s="194"/>
      <c r="S49" s="39" t="str">
        <f>IF(E49=0,"",IF(H51&lt;Statistics!$G$4*(1-Statistics!$Q$1),FALSE,TRUE))</f>
        <v/>
      </c>
      <c r="T49" s="39" t="str">
        <f>IF(M49=0,"",IF(P51&lt;Statistics!$G$4*(1-Statistics!$Q$1),FALSE,TRUE))</f>
        <v/>
      </c>
    </row>
    <row r="50" spans="1:20" ht="21">
      <c r="A50" s="196"/>
      <c r="B50" s="207"/>
      <c r="C50" s="12"/>
      <c r="D50" s="20"/>
      <c r="E50" s="21"/>
      <c r="F50" s="22"/>
      <c r="G50" s="14"/>
      <c r="H50" s="23" t="str">
        <f>IFERROR(MIN(C47:G51)/MAX(C47:G51),"")</f>
        <v/>
      </c>
      <c r="I50" s="196"/>
      <c r="J50" s="207"/>
      <c r="K50" s="12"/>
      <c r="L50" s="20"/>
      <c r="M50" s="21"/>
      <c r="N50" s="22"/>
      <c r="O50" s="14"/>
      <c r="P50" s="23" t="str">
        <f>IFERROR(MIN(K47:O51)/MAX(K47:O51),"")</f>
        <v/>
      </c>
      <c r="Q50" s="194"/>
      <c r="R50" s="194"/>
      <c r="S50" s="39"/>
      <c r="T50" s="39"/>
    </row>
    <row r="51" spans="1:20" ht="21">
      <c r="A51" s="196"/>
      <c r="B51" s="207"/>
      <c r="C51" s="20"/>
      <c r="D51" s="24"/>
      <c r="E51" s="25"/>
      <c r="F51" s="24"/>
      <c r="G51" s="22"/>
      <c r="H51" s="23" t="str">
        <f>IFERROR(MIN(D48:F50)/MAX(D48:F50),"")</f>
        <v/>
      </c>
      <c r="I51" s="196"/>
      <c r="J51" s="207"/>
      <c r="K51" s="20"/>
      <c r="L51" s="24"/>
      <c r="M51" s="25"/>
      <c r="N51" s="24"/>
      <c r="O51" s="22"/>
      <c r="P51" s="23" t="str">
        <f>IFERROR(MIN(L48:N50)/MAX(L48:N50),"")</f>
        <v/>
      </c>
      <c r="Q51" s="194"/>
      <c r="R51" s="194"/>
      <c r="S51" s="39" t="str">
        <f>IF(E54&lt;0.1,"",IF(H54&lt;Statistics!$G$7*(1-2*Statistics!$Q$1),FALSE,TRUE))</f>
        <v/>
      </c>
      <c r="T51" s="39" t="str">
        <f>IF(M54&lt;0.1,"",IF(P54&lt;Statistics!$G$7*(1-2*Statistics!$Q$1),FALSE,TRUE))</f>
        <v/>
      </c>
    </row>
    <row r="52" spans="1:20" ht="21">
      <c r="A52" s="196"/>
      <c r="B52" s="200"/>
      <c r="C52" s="26" t="s">
        <v>81</v>
      </c>
      <c r="D52" s="215"/>
      <c r="E52" s="216"/>
      <c r="F52" s="216"/>
      <c r="G52" s="217"/>
      <c r="H52" s="27">
        <f>MAX(C47:G51,D53)</f>
        <v>0</v>
      </c>
      <c r="I52" s="196"/>
      <c r="J52" s="200"/>
      <c r="K52" s="26" t="s">
        <v>81</v>
      </c>
      <c r="L52" s="215"/>
      <c r="M52" s="216"/>
      <c r="N52" s="216"/>
      <c r="O52" s="217"/>
      <c r="P52" s="27">
        <f>MAX(K47:O51,L53)</f>
        <v>0</v>
      </c>
      <c r="Q52" s="194"/>
      <c r="R52" s="194"/>
      <c r="S52" s="39"/>
      <c r="T52" s="39"/>
    </row>
    <row r="53" spans="1:20" ht="21">
      <c r="A53" s="196"/>
      <c r="B53" s="218" t="s">
        <v>89</v>
      </c>
      <c r="C53" s="219"/>
      <c r="D53" s="220"/>
      <c r="E53" s="221"/>
      <c r="F53" s="222"/>
      <c r="G53" s="223"/>
      <c r="H53" s="28" t="str">
        <f>IFERROR(D53/F53,"")</f>
        <v/>
      </c>
      <c r="I53" s="196"/>
      <c r="J53" s="218" t="s">
        <v>89</v>
      </c>
      <c r="K53" s="219"/>
      <c r="L53" s="220"/>
      <c r="M53" s="221"/>
      <c r="N53" s="222"/>
      <c r="O53" s="223"/>
      <c r="P53" s="28" t="str">
        <f>IFERROR(L53/N53,"")</f>
        <v/>
      </c>
      <c r="Q53" s="194"/>
      <c r="R53" s="194"/>
      <c r="S53" s="39"/>
      <c r="T53" s="39"/>
    </row>
    <row r="54" spans="1:20" ht="21" customHeight="1">
      <c r="A54" s="196"/>
      <c r="B54" s="208" t="s">
        <v>90</v>
      </c>
      <c r="C54" s="209"/>
      <c r="D54" s="29"/>
      <c r="E54" s="30"/>
      <c r="F54" s="31"/>
      <c r="G54" s="32"/>
      <c r="H54" s="33">
        <f>0.5*ABS(E54*F55-E55*F54+F54*G55-F55*G54+G54*E55-G55*E54)/H55</f>
        <v>0</v>
      </c>
      <c r="I54" s="196"/>
      <c r="J54" s="208" t="s">
        <v>90</v>
      </c>
      <c r="K54" s="209"/>
      <c r="L54" s="29"/>
      <c r="M54" s="30"/>
      <c r="N54" s="31"/>
      <c r="O54" s="32"/>
      <c r="P54" s="33">
        <f>0.5*ABS(M54*N55-M55*N54+N54*O55-N55*O54+O54*M55-O55*M54)/P55</f>
        <v>0</v>
      </c>
      <c r="Q54" s="194"/>
      <c r="R54" s="194"/>
      <c r="S54" s="39"/>
      <c r="T54" s="39"/>
    </row>
    <row r="55" spans="1:20" ht="21">
      <c r="A55" s="197"/>
      <c r="B55" s="210"/>
      <c r="C55" s="211"/>
      <c r="D55" s="34"/>
      <c r="E55" s="35"/>
      <c r="F55" s="36"/>
      <c r="G55" s="37"/>
      <c r="H55" s="38">
        <f>0.5*ABS(0.674*0.712-0.218*0.326+0.218*0.08-0.14*0.712+0.14*0.326-0.674*0.08)</f>
        <v>0.15915000000000001</v>
      </c>
      <c r="I55" s="197"/>
      <c r="J55" s="210"/>
      <c r="K55" s="211"/>
      <c r="L55" s="34"/>
      <c r="M55" s="35"/>
      <c r="N55" s="36"/>
      <c r="O55" s="37"/>
      <c r="P55" s="38">
        <f>0.5*ABS(0.674*0.712-0.218*0.326+0.218*0.08-0.14*0.712+0.14*0.326-0.674*0.08)</f>
        <v>0.15915000000000001</v>
      </c>
      <c r="Q55" s="194"/>
      <c r="R55" s="194"/>
      <c r="S55" s="39"/>
      <c r="T55" s="39"/>
    </row>
    <row r="56" spans="1:20" ht="21">
      <c r="A56" s="195">
        <f>A45+1</f>
        <v>6</v>
      </c>
      <c r="B56" s="4" t="s">
        <v>75</v>
      </c>
      <c r="C56" s="205"/>
      <c r="D56" s="205"/>
      <c r="E56" s="205"/>
      <c r="F56" s="205"/>
      <c r="G56" s="205"/>
      <c r="H56" s="206"/>
      <c r="I56" s="195">
        <f>I45+1</f>
        <v>16</v>
      </c>
      <c r="J56" s="4" t="s">
        <v>75</v>
      </c>
      <c r="K56" s="205"/>
      <c r="L56" s="205"/>
      <c r="M56" s="205"/>
      <c r="N56" s="205"/>
      <c r="O56" s="205"/>
      <c r="P56" s="206"/>
      <c r="Q56" s="3"/>
      <c r="R56" s="3"/>
      <c r="S56" s="39"/>
      <c r="T56" s="39"/>
    </row>
    <row r="57" spans="1:20" ht="21" customHeight="1">
      <c r="A57" s="196"/>
      <c r="B57" s="198" t="s">
        <v>76</v>
      </c>
      <c r="C57" s="5"/>
      <c r="D57" s="212" t="str">
        <f>IF(Statistics!$R$2,"Use '9 points' sheet !",Statistics!$Q$2)</f>
        <v>Use '9 points' sheet !</v>
      </c>
      <c r="E57" s="213"/>
      <c r="F57" s="213"/>
      <c r="G57" s="214"/>
      <c r="H57" s="6"/>
      <c r="I57" s="196"/>
      <c r="J57" s="198" t="s">
        <v>76</v>
      </c>
      <c r="K57" s="5"/>
      <c r="L57" s="212" t="str">
        <f>IF(Statistics!$R$2,"Use '9 points' sheet !",Statistics!$Q$2)</f>
        <v>Use '9 points' sheet !</v>
      </c>
      <c r="M57" s="213"/>
      <c r="N57" s="213"/>
      <c r="O57" s="214"/>
      <c r="P57" s="6"/>
      <c r="Q57" s="194" t="str">
        <f>IF(Statistics!$R$2,"不可以用这一页, 需要打开下一页‘9 points’!",CONCATENATE(IF(S57="","要测试九个点和白墙亮度; ",IF(S57,,"工厂模式白屏亮度不够, 再一次确认下; ")),IF(S58="","要测试白黑屏亮度; ",IF(S58,,"工厂模式黑屏亮度太大, 再一次确认下; ")),IF(S60="","要测试九个点亮度; ",IF(S60,,"9个白点之间的亮度差异太高, 再一次确认下; ")),IF(S62="","要测试四个颜色; ",IF(S62,,"3个红绿蓝颜色不太对的, 再一次确认下")),IF(H58&gt;D64,"告诉Vova和工厂业务电视软件有大问题: 客人模式亮度不应该比工厂模式亮度还高","")))</f>
        <v>不可以用这一页, 需要打开下一页‘9 points’!</v>
      </c>
      <c r="R57" s="194" t="str">
        <f>IF(Statistics!$R$2,"不可以用这一页, 需要打开下一页‘9 points’!",CONCATENATE(IF(T57="","要测试九个点和白墙亮度; ",IF(T57,,"工厂模式白屏亮度不够, 再一次确认下; ")),IF(T58="","要测试白黑屏亮度; ",IF(T58,,"工厂模式黑屏亮度太大, 再一次确认下; ")),IF(T60="","要测试九个点亮度; ",IF(T60,,"9个白点之间的亮度差异太高, 再一次确认下; ")),IF(T62="","要测试四个颜色; ",IF(T62,,"3个红绿蓝颜色不太对的, 再一次确认下")),IF(P58&gt;L64,"告诉Vova和工厂业务电视软件有大问题: 客人模式亮度不应该比工厂模式亮度还高","")))</f>
        <v>不可以用这一页, 需要打开下一页‘9 points’!</v>
      </c>
      <c r="S57" s="39" t="str">
        <f>IF(D64&lt;1,"",IF(H63&lt;Statistics!$G$2*(1-Statistics!$Q$1),FALSE,TRUE))</f>
        <v/>
      </c>
      <c r="T57" s="39" t="str">
        <f>IF(L64&lt;1,"",IF(P63&lt;Statistics!$G$2*(1-Statistics!$Q$1),FALSE,TRUE))</f>
        <v/>
      </c>
    </row>
    <row r="58" spans="1:20" ht="21">
      <c r="A58" s="196"/>
      <c r="B58" s="207"/>
      <c r="C58" s="7"/>
      <c r="D58" s="8"/>
      <c r="E58" s="9"/>
      <c r="F58" s="8"/>
      <c r="G58" s="10"/>
      <c r="H58" s="11">
        <f>MAX(C58:G62)</f>
        <v>0</v>
      </c>
      <c r="I58" s="196"/>
      <c r="J58" s="207"/>
      <c r="K58" s="7"/>
      <c r="L58" s="8"/>
      <c r="M58" s="9"/>
      <c r="N58" s="8"/>
      <c r="O58" s="10"/>
      <c r="P58" s="11">
        <f>MAX(K58:O62)</f>
        <v>0</v>
      </c>
      <c r="Q58" s="194"/>
      <c r="R58" s="194"/>
      <c r="S58" s="39" t="str">
        <f>IF(F64=0,"",IF(H64&lt;Statistics!$G$5*(1-Statistics!$Q$1),FALSE,TRUE))</f>
        <v/>
      </c>
      <c r="T58" s="39" t="str">
        <f>IF(N64=0,"",IF(P64&lt;Statistics!$G$5*(1-Statistics!$Q$1),FALSE,TRUE))</f>
        <v/>
      </c>
    </row>
    <row r="59" spans="1:20" ht="21">
      <c r="A59" s="196"/>
      <c r="B59" s="207"/>
      <c r="C59" s="12"/>
      <c r="D59" s="7"/>
      <c r="E59" s="13"/>
      <c r="F59" s="10"/>
      <c r="G59" s="14"/>
      <c r="H59" s="11">
        <f>MAX(D59:F61)</f>
        <v>0</v>
      </c>
      <c r="I59" s="196"/>
      <c r="J59" s="207"/>
      <c r="K59" s="12"/>
      <c r="L59" s="7"/>
      <c r="M59" s="13"/>
      <c r="N59" s="10"/>
      <c r="O59" s="14"/>
      <c r="P59" s="11">
        <f>MAX(L59:N61)</f>
        <v>0</v>
      </c>
      <c r="Q59" s="194"/>
      <c r="R59" s="194"/>
      <c r="S59" s="39" t="str">
        <f>IF(E60=0,"",IF(H61&lt;Statistics!$G$3*(1-Statistics!$Q$1),FALSE,TRUE))</f>
        <v/>
      </c>
      <c r="T59" s="39" t="str">
        <f>IF(M60=0,"",IF(P61&lt;Statistics!$G$3*(1-Statistics!$Q$1),FALSE,TRUE))</f>
        <v/>
      </c>
    </row>
    <row r="60" spans="1:20" ht="21">
      <c r="A60" s="196"/>
      <c r="B60" s="207"/>
      <c r="C60" s="15"/>
      <c r="D60" s="16"/>
      <c r="E60" s="17"/>
      <c r="F60" s="18"/>
      <c r="G60" s="19"/>
      <c r="H60" s="11"/>
      <c r="I60" s="196"/>
      <c r="J60" s="207"/>
      <c r="K60" s="15"/>
      <c r="L60" s="16"/>
      <c r="M60" s="17"/>
      <c r="N60" s="18"/>
      <c r="O60" s="19"/>
      <c r="P60" s="11"/>
      <c r="Q60" s="194"/>
      <c r="R60" s="194"/>
      <c r="S60" s="39" t="str">
        <f>IF(E60=0,"",IF(H62&lt;Statistics!$G$4*(1-Statistics!$Q$1),FALSE,TRUE))</f>
        <v/>
      </c>
      <c r="T60" s="39" t="str">
        <f>IF(M60=0,"",IF(P62&lt;Statistics!$G$4*(1-Statistics!$Q$1),FALSE,TRUE))</f>
        <v/>
      </c>
    </row>
    <row r="61" spans="1:20" ht="21">
      <c r="A61" s="196"/>
      <c r="B61" s="207"/>
      <c r="C61" s="12"/>
      <c r="D61" s="20"/>
      <c r="E61" s="21"/>
      <c r="F61" s="22"/>
      <c r="G61" s="14"/>
      <c r="H61" s="23" t="str">
        <f>IFERROR(MIN(C58:G62)/MAX(C58:G62),"")</f>
        <v/>
      </c>
      <c r="I61" s="196"/>
      <c r="J61" s="207"/>
      <c r="K61" s="12"/>
      <c r="L61" s="20"/>
      <c r="M61" s="21"/>
      <c r="N61" s="22"/>
      <c r="O61" s="14"/>
      <c r="P61" s="23" t="str">
        <f>IFERROR(MIN(K58:O62)/MAX(K58:O62),"")</f>
        <v/>
      </c>
      <c r="Q61" s="194"/>
      <c r="R61" s="194"/>
      <c r="S61" s="39"/>
      <c r="T61" s="39"/>
    </row>
    <row r="62" spans="1:20" ht="21">
      <c r="A62" s="196"/>
      <c r="B62" s="207"/>
      <c r="C62" s="20"/>
      <c r="D62" s="24"/>
      <c r="E62" s="25"/>
      <c r="F62" s="24"/>
      <c r="G62" s="22"/>
      <c r="H62" s="23" t="str">
        <f>IFERROR(MIN(D59:F61)/MAX(D59:F61),"")</f>
        <v/>
      </c>
      <c r="I62" s="196"/>
      <c r="J62" s="207"/>
      <c r="K62" s="20"/>
      <c r="L62" s="24"/>
      <c r="M62" s="25"/>
      <c r="N62" s="24"/>
      <c r="O62" s="22"/>
      <c r="P62" s="23" t="str">
        <f>IFERROR(MIN(L59:N61)/MAX(L59:N61),"")</f>
        <v/>
      </c>
      <c r="Q62" s="194"/>
      <c r="R62" s="194"/>
      <c r="S62" s="39" t="str">
        <f>IF(E65&lt;0.1,"",IF(H65&lt;Statistics!$G$7*(1-2*Statistics!$Q$1),FALSE,TRUE))</f>
        <v/>
      </c>
      <c r="T62" s="39" t="str">
        <f>IF(M65&lt;0.1,"",IF(P65&lt;Statistics!$G$7*(1-2*Statistics!$Q$1),FALSE,TRUE))</f>
        <v/>
      </c>
    </row>
    <row r="63" spans="1:20" ht="21">
      <c r="A63" s="196"/>
      <c r="B63" s="200"/>
      <c r="C63" s="26" t="s">
        <v>81</v>
      </c>
      <c r="D63" s="215"/>
      <c r="E63" s="216"/>
      <c r="F63" s="216"/>
      <c r="G63" s="217"/>
      <c r="H63" s="27">
        <f>MAX(C58:G62,D64)</f>
        <v>0</v>
      </c>
      <c r="I63" s="196"/>
      <c r="J63" s="200"/>
      <c r="K63" s="26" t="s">
        <v>81</v>
      </c>
      <c r="L63" s="215"/>
      <c r="M63" s="216"/>
      <c r="N63" s="216"/>
      <c r="O63" s="217"/>
      <c r="P63" s="27">
        <f>MAX(K58:O62,L64)</f>
        <v>0</v>
      </c>
      <c r="Q63" s="194"/>
      <c r="R63" s="194"/>
      <c r="S63" s="39"/>
      <c r="T63" s="39"/>
    </row>
    <row r="64" spans="1:20" ht="21">
      <c r="A64" s="196"/>
      <c r="B64" s="218" t="s">
        <v>89</v>
      </c>
      <c r="C64" s="219"/>
      <c r="D64" s="220"/>
      <c r="E64" s="221"/>
      <c r="F64" s="222"/>
      <c r="G64" s="223"/>
      <c r="H64" s="28" t="str">
        <f>IFERROR(D64/F64,"")</f>
        <v/>
      </c>
      <c r="I64" s="196"/>
      <c r="J64" s="218" t="s">
        <v>89</v>
      </c>
      <c r="K64" s="219"/>
      <c r="L64" s="220"/>
      <c r="M64" s="221"/>
      <c r="N64" s="222"/>
      <c r="O64" s="223"/>
      <c r="P64" s="28" t="str">
        <f>IFERROR(L64/N64,"")</f>
        <v/>
      </c>
      <c r="Q64" s="194"/>
      <c r="R64" s="194"/>
      <c r="S64" s="39"/>
      <c r="T64" s="39"/>
    </row>
    <row r="65" spans="1:20" ht="21" customHeight="1">
      <c r="A65" s="196"/>
      <c r="B65" s="208" t="s">
        <v>90</v>
      </c>
      <c r="C65" s="209"/>
      <c r="D65" s="29"/>
      <c r="E65" s="30"/>
      <c r="F65" s="31"/>
      <c r="G65" s="32"/>
      <c r="H65" s="33">
        <f>0.5*ABS(E65*F66-E66*F65+F65*G66-F66*G65+G65*E66-G66*E65)/H66</f>
        <v>0</v>
      </c>
      <c r="I65" s="196"/>
      <c r="J65" s="208" t="s">
        <v>90</v>
      </c>
      <c r="K65" s="209"/>
      <c r="L65" s="29"/>
      <c r="M65" s="30"/>
      <c r="N65" s="31"/>
      <c r="O65" s="32"/>
      <c r="P65" s="33">
        <f>0.5*ABS(M65*N66-M66*N65+N65*O66-N66*O65+O65*M66-O66*M65)/P66</f>
        <v>0</v>
      </c>
      <c r="Q65" s="194"/>
      <c r="R65" s="194"/>
      <c r="S65" s="39"/>
      <c r="T65" s="39"/>
    </row>
    <row r="66" spans="1:20" ht="21">
      <c r="A66" s="197"/>
      <c r="B66" s="210"/>
      <c r="C66" s="211"/>
      <c r="D66" s="34"/>
      <c r="E66" s="35"/>
      <c r="F66" s="36"/>
      <c r="G66" s="37"/>
      <c r="H66" s="38">
        <f>0.5*ABS(0.674*0.712-0.218*0.326+0.218*0.08-0.14*0.712+0.14*0.326-0.674*0.08)</f>
        <v>0.15915000000000001</v>
      </c>
      <c r="I66" s="197"/>
      <c r="J66" s="210"/>
      <c r="K66" s="211"/>
      <c r="L66" s="34"/>
      <c r="M66" s="35"/>
      <c r="N66" s="36"/>
      <c r="O66" s="37"/>
      <c r="P66" s="38">
        <f>0.5*ABS(0.674*0.712-0.218*0.326+0.218*0.08-0.14*0.712+0.14*0.326-0.674*0.08)</f>
        <v>0.15915000000000001</v>
      </c>
      <c r="Q66" s="194"/>
      <c r="R66" s="194"/>
      <c r="S66" s="39"/>
      <c r="T66" s="39"/>
    </row>
    <row r="67" spans="1:20" ht="21">
      <c r="A67" s="195">
        <f>A56+1</f>
        <v>7</v>
      </c>
      <c r="B67" s="4" t="s">
        <v>75</v>
      </c>
      <c r="C67" s="205"/>
      <c r="D67" s="205"/>
      <c r="E67" s="205"/>
      <c r="F67" s="205"/>
      <c r="G67" s="205"/>
      <c r="H67" s="206"/>
      <c r="I67" s="195">
        <f>I56+1</f>
        <v>17</v>
      </c>
      <c r="J67" s="4" t="s">
        <v>75</v>
      </c>
      <c r="K67" s="205"/>
      <c r="L67" s="205"/>
      <c r="M67" s="205"/>
      <c r="N67" s="205"/>
      <c r="O67" s="205"/>
      <c r="P67" s="206"/>
      <c r="Q67" s="3"/>
      <c r="R67" s="3"/>
      <c r="S67" s="39"/>
      <c r="T67" s="39"/>
    </row>
    <row r="68" spans="1:20" ht="21" customHeight="1">
      <c r="A68" s="196"/>
      <c r="B68" s="198" t="s">
        <v>76</v>
      </c>
      <c r="C68" s="5"/>
      <c r="D68" s="212" t="str">
        <f>IF(Statistics!$R$2,"Use '9 points' sheet !",Statistics!$Q$2)</f>
        <v>Use '9 points' sheet !</v>
      </c>
      <c r="E68" s="213"/>
      <c r="F68" s="213"/>
      <c r="G68" s="214"/>
      <c r="H68" s="6"/>
      <c r="I68" s="196"/>
      <c r="J68" s="198" t="s">
        <v>76</v>
      </c>
      <c r="K68" s="5"/>
      <c r="L68" s="212" t="str">
        <f>IF(Statistics!$R$2,"Use '9 points' sheet !",Statistics!$Q$2)</f>
        <v>Use '9 points' sheet !</v>
      </c>
      <c r="M68" s="213"/>
      <c r="N68" s="213"/>
      <c r="O68" s="214"/>
      <c r="P68" s="6"/>
      <c r="Q68" s="194" t="str">
        <f>IF(Statistics!$R$2,"不可以用这一页, 需要打开下一页‘9 points’!",CONCATENATE(IF(S68="","要测试九个点和白墙亮度; ",IF(S68,,"工厂模式白屏亮度不够, 再一次确认下; ")),IF(S69="","要测试白黑屏亮度; ",IF(S69,,"工厂模式黑屏亮度太大, 再一次确认下; ")),IF(S71="","要测试九个点亮度; ",IF(S71,,"9个白点之间的亮度差异太高, 再一次确认下; ")),IF(S73="","要测试四个颜色; ",IF(S73,,"3个红绿蓝颜色不太对的, 再一次确认下")),IF(H69&gt;D75,"告诉Vova和工厂业务电视软件有大问题: 客人模式亮度不应该比工厂模式亮度还高","")))</f>
        <v>不可以用这一页, 需要打开下一页‘9 points’!</v>
      </c>
      <c r="R68" s="194" t="str">
        <f>IF(Statistics!$R$2,"不可以用这一页, 需要打开下一页‘9 points’!",CONCATENATE(IF(T68="","要测试九个点和白墙亮度; ",IF(T68,,"工厂模式白屏亮度不够, 再一次确认下; ")),IF(T69="","要测试白黑屏亮度; ",IF(T69,,"工厂模式黑屏亮度太大, 再一次确认下; ")),IF(T71="","要测试九个点亮度; ",IF(T71,,"9个白点之间的亮度差异太高, 再一次确认下; ")),IF(T73="","要测试四个颜色; ",IF(T73,,"3个红绿蓝颜色不太对的, 再一次确认下")),IF(P69&gt;L75,"告诉Vova和工厂业务电视软件有大问题: 客人模式亮度不应该比工厂模式亮度还高","")))</f>
        <v>不可以用这一页, 需要打开下一页‘9 points’!</v>
      </c>
      <c r="S68" s="39" t="str">
        <f>IF(D75&lt;1,"",IF(H74&lt;Statistics!$G$2*(1-Statistics!$Q$1),FALSE,TRUE))</f>
        <v/>
      </c>
      <c r="T68" s="39" t="str">
        <f>IF(L75&lt;1,"",IF(P74&lt;Statistics!$G$2*(1-Statistics!$Q$1),FALSE,TRUE))</f>
        <v/>
      </c>
    </row>
    <row r="69" spans="1:20" ht="21">
      <c r="A69" s="196"/>
      <c r="B69" s="207"/>
      <c r="C69" s="7"/>
      <c r="D69" s="8"/>
      <c r="E69" s="9"/>
      <c r="F69" s="8"/>
      <c r="G69" s="10"/>
      <c r="H69" s="11">
        <f>MAX(C69:G73)</f>
        <v>0</v>
      </c>
      <c r="I69" s="196"/>
      <c r="J69" s="207"/>
      <c r="K69" s="7"/>
      <c r="L69" s="8"/>
      <c r="M69" s="9"/>
      <c r="N69" s="8"/>
      <c r="O69" s="10"/>
      <c r="P69" s="11">
        <f>MAX(K69:O73)</f>
        <v>0</v>
      </c>
      <c r="Q69" s="194"/>
      <c r="R69" s="194"/>
      <c r="S69" s="39" t="str">
        <f>IF(F75=0,"",IF(H75&lt;Statistics!$G$5*(1-Statistics!$Q$1),FALSE,TRUE))</f>
        <v/>
      </c>
      <c r="T69" s="39" t="str">
        <f>IF(N75=0,"",IF(P75&lt;Statistics!$G$5*(1-Statistics!$Q$1),FALSE,TRUE))</f>
        <v/>
      </c>
    </row>
    <row r="70" spans="1:20" ht="21">
      <c r="A70" s="196"/>
      <c r="B70" s="207"/>
      <c r="C70" s="12"/>
      <c r="D70" s="7"/>
      <c r="E70" s="13"/>
      <c r="F70" s="10"/>
      <c r="G70" s="14"/>
      <c r="H70" s="11">
        <f>MAX(D70:F72)</f>
        <v>0</v>
      </c>
      <c r="I70" s="196"/>
      <c r="J70" s="207"/>
      <c r="K70" s="12"/>
      <c r="L70" s="7"/>
      <c r="M70" s="13"/>
      <c r="N70" s="10"/>
      <c r="O70" s="14"/>
      <c r="P70" s="11">
        <f>MAX(L70:N72)</f>
        <v>0</v>
      </c>
      <c r="Q70" s="194"/>
      <c r="R70" s="194"/>
      <c r="S70" s="39" t="str">
        <f>IF(E71=0,"",IF(H72&lt;Statistics!$G$3*(1-Statistics!$Q$1),FALSE,TRUE))</f>
        <v/>
      </c>
      <c r="T70" s="39" t="str">
        <f>IF(M71=0,"",IF(P72&lt;Statistics!$G$3*(1-Statistics!$Q$1),FALSE,TRUE))</f>
        <v/>
      </c>
    </row>
    <row r="71" spans="1:20" ht="21">
      <c r="A71" s="196"/>
      <c r="B71" s="207"/>
      <c r="C71" s="15"/>
      <c r="D71" s="16"/>
      <c r="E71" s="17"/>
      <c r="F71" s="18"/>
      <c r="G71" s="19"/>
      <c r="H71" s="11"/>
      <c r="I71" s="196"/>
      <c r="J71" s="207"/>
      <c r="K71" s="15"/>
      <c r="L71" s="16"/>
      <c r="M71" s="17"/>
      <c r="N71" s="18"/>
      <c r="O71" s="19"/>
      <c r="P71" s="11"/>
      <c r="Q71" s="194"/>
      <c r="R71" s="194"/>
      <c r="S71" s="39" t="str">
        <f>IF(E71=0,"",IF(H73&lt;Statistics!$G$4*(1-Statistics!$Q$1),FALSE,TRUE))</f>
        <v/>
      </c>
      <c r="T71" s="39" t="str">
        <f>IF(M71=0,"",IF(P73&lt;Statistics!$G$4*(1-Statistics!$Q$1),FALSE,TRUE))</f>
        <v/>
      </c>
    </row>
    <row r="72" spans="1:20" ht="21">
      <c r="A72" s="196"/>
      <c r="B72" s="207"/>
      <c r="C72" s="12"/>
      <c r="D72" s="20"/>
      <c r="E72" s="21"/>
      <c r="F72" s="22"/>
      <c r="G72" s="14"/>
      <c r="H72" s="23" t="str">
        <f>IFERROR(MIN(C69:G73)/MAX(C69:G73),"")</f>
        <v/>
      </c>
      <c r="I72" s="196"/>
      <c r="J72" s="207"/>
      <c r="K72" s="12"/>
      <c r="L72" s="20"/>
      <c r="M72" s="21"/>
      <c r="N72" s="22"/>
      <c r="O72" s="14"/>
      <c r="P72" s="23" t="str">
        <f>IFERROR(MIN(K69:O73)/MAX(K69:O73),"")</f>
        <v/>
      </c>
      <c r="Q72" s="194"/>
      <c r="R72" s="194"/>
      <c r="S72" s="39"/>
      <c r="T72" s="39"/>
    </row>
    <row r="73" spans="1:20" ht="21">
      <c r="A73" s="196"/>
      <c r="B73" s="207"/>
      <c r="C73" s="20"/>
      <c r="D73" s="24"/>
      <c r="E73" s="25"/>
      <c r="F73" s="24"/>
      <c r="G73" s="22"/>
      <c r="H73" s="23" t="str">
        <f>IFERROR(MIN(D70:F72)/MAX(D70:F72),"")</f>
        <v/>
      </c>
      <c r="I73" s="196"/>
      <c r="J73" s="207"/>
      <c r="K73" s="20"/>
      <c r="L73" s="24"/>
      <c r="M73" s="25"/>
      <c r="N73" s="24"/>
      <c r="O73" s="22"/>
      <c r="P73" s="23" t="str">
        <f>IFERROR(MIN(L70:N72)/MAX(L70:N72),"")</f>
        <v/>
      </c>
      <c r="Q73" s="194"/>
      <c r="R73" s="194"/>
      <c r="S73" s="39" t="str">
        <f>IF(E76&lt;0.1,"",IF(H76&lt;Statistics!$G$7*(1-2*Statistics!$Q$1),FALSE,TRUE))</f>
        <v/>
      </c>
      <c r="T73" s="39" t="str">
        <f>IF(M76&lt;0.1,"",IF(P76&lt;Statistics!$G$7*(1-2*Statistics!$Q$1),FALSE,TRUE))</f>
        <v/>
      </c>
    </row>
    <row r="74" spans="1:20" ht="21">
      <c r="A74" s="196"/>
      <c r="B74" s="200"/>
      <c r="C74" s="26" t="s">
        <v>81</v>
      </c>
      <c r="D74" s="215"/>
      <c r="E74" s="216"/>
      <c r="F74" s="216"/>
      <c r="G74" s="217"/>
      <c r="H74" s="27">
        <f>MAX(C69:G73,D75)</f>
        <v>0</v>
      </c>
      <c r="I74" s="196"/>
      <c r="J74" s="200"/>
      <c r="K74" s="26" t="s">
        <v>81</v>
      </c>
      <c r="L74" s="215"/>
      <c r="M74" s="216"/>
      <c r="N74" s="216"/>
      <c r="O74" s="217"/>
      <c r="P74" s="27">
        <f>MAX(K69:O73,L75)</f>
        <v>0</v>
      </c>
      <c r="Q74" s="194"/>
      <c r="R74" s="194"/>
      <c r="S74" s="39"/>
      <c r="T74" s="39"/>
    </row>
    <row r="75" spans="1:20" ht="21">
      <c r="A75" s="196"/>
      <c r="B75" s="218" t="s">
        <v>89</v>
      </c>
      <c r="C75" s="219"/>
      <c r="D75" s="220"/>
      <c r="E75" s="221"/>
      <c r="F75" s="222"/>
      <c r="G75" s="223"/>
      <c r="H75" s="28" t="str">
        <f>IFERROR(D75/F75,"")</f>
        <v/>
      </c>
      <c r="I75" s="196"/>
      <c r="J75" s="218" t="s">
        <v>89</v>
      </c>
      <c r="K75" s="219"/>
      <c r="L75" s="220"/>
      <c r="M75" s="221"/>
      <c r="N75" s="222"/>
      <c r="O75" s="223"/>
      <c r="P75" s="28" t="str">
        <f>IFERROR(L75/N75,"")</f>
        <v/>
      </c>
      <c r="Q75" s="194"/>
      <c r="R75" s="194"/>
      <c r="S75" s="39"/>
      <c r="T75" s="39"/>
    </row>
    <row r="76" spans="1:20" ht="21" customHeight="1">
      <c r="A76" s="196"/>
      <c r="B76" s="208" t="s">
        <v>90</v>
      </c>
      <c r="C76" s="209"/>
      <c r="D76" s="29"/>
      <c r="E76" s="30"/>
      <c r="F76" s="31"/>
      <c r="G76" s="32"/>
      <c r="H76" s="33">
        <f>0.5*ABS(E76*F77-E77*F76+F76*G77-F77*G76+G76*E77-G77*E76)/H77</f>
        <v>0</v>
      </c>
      <c r="I76" s="196"/>
      <c r="J76" s="208" t="s">
        <v>90</v>
      </c>
      <c r="K76" s="209"/>
      <c r="L76" s="29"/>
      <c r="M76" s="30"/>
      <c r="N76" s="31"/>
      <c r="O76" s="32"/>
      <c r="P76" s="33">
        <f>0.5*ABS(M76*N77-M77*N76+N76*O77-N77*O76+O76*M77-O77*M76)/P77</f>
        <v>0</v>
      </c>
      <c r="Q76" s="194"/>
      <c r="R76" s="194"/>
      <c r="S76" s="39"/>
      <c r="T76" s="39"/>
    </row>
    <row r="77" spans="1:20" ht="21">
      <c r="A77" s="197"/>
      <c r="B77" s="210"/>
      <c r="C77" s="211"/>
      <c r="D77" s="34"/>
      <c r="E77" s="35"/>
      <c r="F77" s="36"/>
      <c r="G77" s="37"/>
      <c r="H77" s="38">
        <f>0.5*ABS(0.674*0.712-0.218*0.326+0.218*0.08-0.14*0.712+0.14*0.326-0.674*0.08)</f>
        <v>0.15915000000000001</v>
      </c>
      <c r="I77" s="197"/>
      <c r="J77" s="210"/>
      <c r="K77" s="211"/>
      <c r="L77" s="34"/>
      <c r="M77" s="35"/>
      <c r="N77" s="36"/>
      <c r="O77" s="37"/>
      <c r="P77" s="38">
        <f>0.5*ABS(0.674*0.712-0.218*0.326+0.218*0.08-0.14*0.712+0.14*0.326-0.674*0.08)</f>
        <v>0.15915000000000001</v>
      </c>
      <c r="Q77" s="194"/>
      <c r="R77" s="194"/>
      <c r="S77" s="39"/>
      <c r="T77" s="39"/>
    </row>
    <row r="78" spans="1:20" ht="21">
      <c r="A78" s="195">
        <f>A67+1</f>
        <v>8</v>
      </c>
      <c r="B78" s="4" t="s">
        <v>75</v>
      </c>
      <c r="C78" s="205"/>
      <c r="D78" s="205"/>
      <c r="E78" s="205"/>
      <c r="F78" s="205"/>
      <c r="G78" s="205"/>
      <c r="H78" s="206"/>
      <c r="I78" s="195">
        <f>I67+1</f>
        <v>18</v>
      </c>
      <c r="J78" s="4" t="s">
        <v>75</v>
      </c>
      <c r="K78" s="205"/>
      <c r="L78" s="205"/>
      <c r="M78" s="205"/>
      <c r="N78" s="205"/>
      <c r="O78" s="205"/>
      <c r="P78" s="206"/>
      <c r="Q78" s="3"/>
      <c r="R78" s="3"/>
      <c r="S78" s="39"/>
      <c r="T78" s="39"/>
    </row>
    <row r="79" spans="1:20" ht="21" customHeight="1">
      <c r="A79" s="196"/>
      <c r="B79" s="198" t="s">
        <v>76</v>
      </c>
      <c r="C79" s="5"/>
      <c r="D79" s="212" t="str">
        <f>IF(Statistics!$R$2,"Use '9 points' sheet !",Statistics!$Q$2)</f>
        <v>Use '9 points' sheet !</v>
      </c>
      <c r="E79" s="213"/>
      <c r="F79" s="213"/>
      <c r="G79" s="214"/>
      <c r="H79" s="6"/>
      <c r="I79" s="196"/>
      <c r="J79" s="198" t="s">
        <v>76</v>
      </c>
      <c r="K79" s="5"/>
      <c r="L79" s="212" t="str">
        <f>IF(Statistics!$R$2,"Use '9 points' sheet !",Statistics!$Q$2)</f>
        <v>Use '9 points' sheet !</v>
      </c>
      <c r="M79" s="213"/>
      <c r="N79" s="213"/>
      <c r="O79" s="214"/>
      <c r="P79" s="6"/>
      <c r="Q79" s="194" t="str">
        <f>IF(Statistics!$R$2,"不可以用这一页, 需要打开下一页‘9 points’!",CONCATENATE(IF(S79="","要测试九个点和白墙亮度; ",IF(S79,,"工厂模式白屏亮度不够, 再一次确认下; ")),IF(S80="","要测试白黑屏亮度; ",IF(S80,,"工厂模式黑屏亮度太大, 再一次确认下; ")),IF(S82="","要测试九个点亮度; ",IF(S82,,"9个白点之间的亮度差异太高, 再一次确认下; ")),IF(S84="","要测试四个颜色; ",IF(S84,,"3个红绿蓝颜色不太对的, 再一次确认下")),IF(H80&gt;D86,"告诉Vova和工厂业务电视软件有大问题: 客人模式亮度不应该比工厂模式亮度还高","")))</f>
        <v>不可以用这一页, 需要打开下一页‘9 points’!</v>
      </c>
      <c r="R79" s="194" t="str">
        <f>IF(Statistics!$R$2,"不可以用这一页, 需要打开下一页‘9 points’!",CONCATENATE(IF(T79="","要测试九个点和白墙亮度; ",IF(T79,,"工厂模式白屏亮度不够, 再一次确认下; ")),IF(T80="","要测试白黑屏亮度; ",IF(T80,,"工厂模式黑屏亮度太大, 再一次确认下; ")),IF(T82="","要测试九个点亮度; ",IF(T82,,"9个白点之间的亮度差异太高, 再一次确认下; ")),IF(T84="","要测试四个颜色; ",IF(T84,,"3个红绿蓝颜色不太对的, 再一次确认下")),IF(P80&gt;L86,"告诉Vova和工厂业务电视软件有大问题: 客人模式亮度不应该比工厂模式亮度还高","")))</f>
        <v>不可以用这一页, 需要打开下一页‘9 points’!</v>
      </c>
      <c r="S79" s="39" t="str">
        <f>IF(D86&lt;1,"",IF(H85&lt;Statistics!$G$2*(1-Statistics!$Q$1),FALSE,TRUE))</f>
        <v/>
      </c>
      <c r="T79" s="39" t="str">
        <f>IF(L86&lt;1,"",IF(P85&lt;Statistics!$G$2*(1-Statistics!$Q$1),FALSE,TRUE))</f>
        <v/>
      </c>
    </row>
    <row r="80" spans="1:20" ht="21">
      <c r="A80" s="196"/>
      <c r="B80" s="207"/>
      <c r="C80" s="7"/>
      <c r="D80" s="8"/>
      <c r="E80" s="9"/>
      <c r="F80" s="8"/>
      <c r="G80" s="10"/>
      <c r="H80" s="11">
        <f>MAX(C80:G84)</f>
        <v>0</v>
      </c>
      <c r="I80" s="196"/>
      <c r="J80" s="207"/>
      <c r="K80" s="7"/>
      <c r="L80" s="8"/>
      <c r="M80" s="9"/>
      <c r="N80" s="8"/>
      <c r="O80" s="10"/>
      <c r="P80" s="11">
        <f>MAX(K80:O84)</f>
        <v>0</v>
      </c>
      <c r="Q80" s="194"/>
      <c r="R80" s="194"/>
      <c r="S80" s="39" t="str">
        <f>IF(F86=0,"",IF(H86&lt;Statistics!$G$5*(1-Statistics!$Q$1),FALSE,TRUE))</f>
        <v/>
      </c>
      <c r="T80" s="39" t="str">
        <f>IF(N86=0,"",IF(P86&lt;Statistics!$G$5*(1-Statistics!$Q$1),FALSE,TRUE))</f>
        <v/>
      </c>
    </row>
    <row r="81" spans="1:20" ht="21">
      <c r="A81" s="196"/>
      <c r="B81" s="207"/>
      <c r="C81" s="12"/>
      <c r="D81" s="7"/>
      <c r="E81" s="13"/>
      <c r="F81" s="10"/>
      <c r="G81" s="14"/>
      <c r="H81" s="11">
        <f>MAX(D81:F83)</f>
        <v>0</v>
      </c>
      <c r="I81" s="196"/>
      <c r="J81" s="207"/>
      <c r="K81" s="12"/>
      <c r="L81" s="7"/>
      <c r="M81" s="13"/>
      <c r="N81" s="10"/>
      <c r="O81" s="14"/>
      <c r="P81" s="11">
        <f>MAX(L81:N83)</f>
        <v>0</v>
      </c>
      <c r="Q81" s="194"/>
      <c r="R81" s="194"/>
      <c r="S81" s="39" t="str">
        <f>IF(E82=0,"",IF(H83&lt;Statistics!$G$3*(1-Statistics!$Q$1),FALSE,TRUE))</f>
        <v/>
      </c>
      <c r="T81" s="39" t="str">
        <f>IF(M82=0,"",IF(P83&lt;Statistics!$G$3*(1-Statistics!$Q$1),FALSE,TRUE))</f>
        <v/>
      </c>
    </row>
    <row r="82" spans="1:20" ht="21">
      <c r="A82" s="196"/>
      <c r="B82" s="207"/>
      <c r="C82" s="15"/>
      <c r="D82" s="16"/>
      <c r="E82" s="17"/>
      <c r="F82" s="18"/>
      <c r="G82" s="19"/>
      <c r="H82" s="11"/>
      <c r="I82" s="196"/>
      <c r="J82" s="207"/>
      <c r="K82" s="15"/>
      <c r="L82" s="16"/>
      <c r="M82" s="17"/>
      <c r="N82" s="18"/>
      <c r="O82" s="19"/>
      <c r="P82" s="11"/>
      <c r="Q82" s="194"/>
      <c r="R82" s="194"/>
      <c r="S82" s="39" t="str">
        <f>IF(E82=0,"",IF(H84&lt;Statistics!$G$4*(1-Statistics!$Q$1),FALSE,TRUE))</f>
        <v/>
      </c>
      <c r="T82" s="39" t="str">
        <f>IF(M82=0,"",IF(P84&lt;Statistics!$G$4*(1-Statistics!$Q$1),FALSE,TRUE))</f>
        <v/>
      </c>
    </row>
    <row r="83" spans="1:20" ht="21">
      <c r="A83" s="196"/>
      <c r="B83" s="207"/>
      <c r="C83" s="12"/>
      <c r="D83" s="20"/>
      <c r="E83" s="21"/>
      <c r="F83" s="22"/>
      <c r="G83" s="14"/>
      <c r="H83" s="23" t="str">
        <f>IFERROR(MIN(C80:G84)/MAX(C80:G84),"")</f>
        <v/>
      </c>
      <c r="I83" s="196"/>
      <c r="J83" s="207"/>
      <c r="K83" s="12"/>
      <c r="L83" s="20"/>
      <c r="M83" s="21"/>
      <c r="N83" s="22"/>
      <c r="O83" s="14"/>
      <c r="P83" s="23" t="str">
        <f>IFERROR(MIN(K80:O84)/MAX(K80:O84),"")</f>
        <v/>
      </c>
      <c r="Q83" s="194"/>
      <c r="R83" s="194"/>
      <c r="S83" s="39"/>
      <c r="T83" s="39"/>
    </row>
    <row r="84" spans="1:20" ht="21">
      <c r="A84" s="196"/>
      <c r="B84" s="207"/>
      <c r="C84" s="20"/>
      <c r="D84" s="24"/>
      <c r="E84" s="25"/>
      <c r="F84" s="24"/>
      <c r="G84" s="22"/>
      <c r="H84" s="23" t="str">
        <f>IFERROR(MIN(D81:F83)/MAX(D81:F83),"")</f>
        <v/>
      </c>
      <c r="I84" s="196"/>
      <c r="J84" s="207"/>
      <c r="K84" s="20"/>
      <c r="L84" s="24"/>
      <c r="M84" s="25"/>
      <c r="N84" s="24"/>
      <c r="O84" s="22"/>
      <c r="P84" s="23" t="str">
        <f>IFERROR(MIN(L81:N83)/MAX(L81:N83),"")</f>
        <v/>
      </c>
      <c r="Q84" s="194"/>
      <c r="R84" s="194"/>
      <c r="S84" s="39" t="str">
        <f>IF(E87&lt;0.1,"",IF(H87&lt;Statistics!$G$7*(1-2*Statistics!$Q$1),FALSE,TRUE))</f>
        <v/>
      </c>
      <c r="T84" s="39" t="str">
        <f>IF(M87&lt;0.1,"",IF(P87&lt;Statistics!$G$7*(1-2*Statistics!$Q$1),FALSE,TRUE))</f>
        <v/>
      </c>
    </row>
    <row r="85" spans="1:20" ht="21">
      <c r="A85" s="196"/>
      <c r="B85" s="200"/>
      <c r="C85" s="26" t="s">
        <v>81</v>
      </c>
      <c r="D85" s="215"/>
      <c r="E85" s="216"/>
      <c r="F85" s="216"/>
      <c r="G85" s="217"/>
      <c r="H85" s="27">
        <f>MAX(C80:G84,D86)</f>
        <v>0</v>
      </c>
      <c r="I85" s="196"/>
      <c r="J85" s="200"/>
      <c r="K85" s="26" t="s">
        <v>81</v>
      </c>
      <c r="L85" s="215"/>
      <c r="M85" s="216"/>
      <c r="N85" s="216"/>
      <c r="O85" s="217"/>
      <c r="P85" s="27">
        <f>MAX(K80:O84,L86)</f>
        <v>0</v>
      </c>
      <c r="Q85" s="194"/>
      <c r="R85" s="194"/>
      <c r="S85" s="39"/>
      <c r="T85" s="39"/>
    </row>
    <row r="86" spans="1:20" ht="21">
      <c r="A86" s="196"/>
      <c r="B86" s="218" t="s">
        <v>89</v>
      </c>
      <c r="C86" s="219"/>
      <c r="D86" s="220"/>
      <c r="E86" s="221"/>
      <c r="F86" s="222"/>
      <c r="G86" s="223"/>
      <c r="H86" s="28" t="str">
        <f>IFERROR(D86/F86,"")</f>
        <v/>
      </c>
      <c r="I86" s="196"/>
      <c r="J86" s="218" t="s">
        <v>89</v>
      </c>
      <c r="K86" s="219"/>
      <c r="L86" s="220"/>
      <c r="M86" s="221"/>
      <c r="N86" s="222"/>
      <c r="O86" s="223"/>
      <c r="P86" s="28" t="str">
        <f>IFERROR(L86/N86,"")</f>
        <v/>
      </c>
      <c r="Q86" s="194"/>
      <c r="R86" s="194"/>
      <c r="S86" s="39"/>
      <c r="T86" s="39"/>
    </row>
    <row r="87" spans="1:20" ht="21" customHeight="1">
      <c r="A87" s="196"/>
      <c r="B87" s="208" t="s">
        <v>90</v>
      </c>
      <c r="C87" s="209"/>
      <c r="D87" s="29"/>
      <c r="E87" s="30"/>
      <c r="F87" s="31"/>
      <c r="G87" s="32"/>
      <c r="H87" s="33">
        <f>0.5*ABS(E87*F88-E88*F87+F87*G88-F88*G87+G87*E88-G88*E87)/H88</f>
        <v>0</v>
      </c>
      <c r="I87" s="196"/>
      <c r="J87" s="208" t="s">
        <v>90</v>
      </c>
      <c r="K87" s="209"/>
      <c r="L87" s="29"/>
      <c r="M87" s="30"/>
      <c r="N87" s="31"/>
      <c r="O87" s="32"/>
      <c r="P87" s="33">
        <f>0.5*ABS(M87*N88-M88*N87+N87*O88-N88*O87+O87*M88-O88*M87)/P88</f>
        <v>0</v>
      </c>
      <c r="Q87" s="194"/>
      <c r="R87" s="194"/>
      <c r="S87" s="39"/>
      <c r="T87" s="39"/>
    </row>
    <row r="88" spans="1:20" ht="21">
      <c r="A88" s="197"/>
      <c r="B88" s="210"/>
      <c r="C88" s="211"/>
      <c r="D88" s="34"/>
      <c r="E88" s="35"/>
      <c r="F88" s="36"/>
      <c r="G88" s="37"/>
      <c r="H88" s="38">
        <f>0.5*ABS(0.674*0.712-0.218*0.326+0.218*0.08-0.14*0.712+0.14*0.326-0.674*0.08)</f>
        <v>0.15915000000000001</v>
      </c>
      <c r="I88" s="197"/>
      <c r="J88" s="210"/>
      <c r="K88" s="211"/>
      <c r="L88" s="34"/>
      <c r="M88" s="35"/>
      <c r="N88" s="36"/>
      <c r="O88" s="37"/>
      <c r="P88" s="38">
        <f>0.5*ABS(0.674*0.712-0.218*0.326+0.218*0.08-0.14*0.712+0.14*0.326-0.674*0.08)</f>
        <v>0.15915000000000001</v>
      </c>
      <c r="Q88" s="194"/>
      <c r="R88" s="194"/>
      <c r="S88" s="39"/>
      <c r="T88" s="39"/>
    </row>
    <row r="89" spans="1:20" ht="21">
      <c r="A89" s="195">
        <f>A78+1</f>
        <v>9</v>
      </c>
      <c r="B89" s="4" t="s">
        <v>75</v>
      </c>
      <c r="C89" s="205"/>
      <c r="D89" s="205"/>
      <c r="E89" s="205"/>
      <c r="F89" s="205"/>
      <c r="G89" s="205"/>
      <c r="H89" s="206"/>
      <c r="I89" s="195">
        <f>I78+1</f>
        <v>19</v>
      </c>
      <c r="J89" s="4" t="s">
        <v>75</v>
      </c>
      <c r="K89" s="205"/>
      <c r="L89" s="205"/>
      <c r="M89" s="205"/>
      <c r="N89" s="205"/>
      <c r="O89" s="205"/>
      <c r="P89" s="206"/>
      <c r="Q89" s="3"/>
      <c r="R89" s="3"/>
      <c r="S89" s="39"/>
      <c r="T89" s="39"/>
    </row>
    <row r="90" spans="1:20" ht="21" customHeight="1">
      <c r="A90" s="196"/>
      <c r="B90" s="198" t="s">
        <v>76</v>
      </c>
      <c r="C90" s="5"/>
      <c r="D90" s="212" t="str">
        <f>IF(Statistics!$R$2,"Use '9 points' sheet !",Statistics!$Q$2)</f>
        <v>Use '9 points' sheet !</v>
      </c>
      <c r="E90" s="213"/>
      <c r="F90" s="213"/>
      <c r="G90" s="214"/>
      <c r="H90" s="6"/>
      <c r="I90" s="196"/>
      <c r="J90" s="198" t="s">
        <v>76</v>
      </c>
      <c r="K90" s="5"/>
      <c r="L90" s="212" t="str">
        <f>IF(Statistics!$R$2,"Use '9 points' sheet !",Statistics!$Q$2)</f>
        <v>Use '9 points' sheet !</v>
      </c>
      <c r="M90" s="213"/>
      <c r="N90" s="213"/>
      <c r="O90" s="214"/>
      <c r="P90" s="6"/>
      <c r="Q90" s="194" t="str">
        <f>IF(Statistics!$R$2,"不可以用这一页, 需要打开下一页‘9 points’!",CONCATENATE(IF(S90="","要测试九个点和白墙亮度; ",IF(S90,,"工厂模式白屏亮度不够, 再一次确认下; ")),IF(S91="","要测试白黑屏亮度; ",IF(S91,,"工厂模式黑屏亮度太大, 再一次确认下; ")),IF(S93="","要测试九个点亮度; ",IF(S93,,"9个白点之间的亮度差异太高, 再一次确认下; ")),IF(S95="","要测试四个颜色; ",IF(S95,,"3个红绿蓝颜色不太对的, 再一次确认下")),IF(H91&gt;D97,"告诉Vova和工厂业务电视软件有大问题: 客人模式亮度不应该比工厂模式亮度还高","")))</f>
        <v>不可以用这一页, 需要打开下一页‘9 points’!</v>
      </c>
      <c r="R90" s="194" t="str">
        <f>IF(Statistics!$R$2,"不可以用这一页, 需要打开下一页‘9 points’!",CONCATENATE(IF(T90="","要测试九个点和白墙亮度; ",IF(T90,,"工厂模式白屏亮度不够, 再一次确认下; ")),IF(T91="","要测试白黑屏亮度; ",IF(T91,,"工厂模式黑屏亮度太大, 再一次确认下; ")),IF(T93="","要测试九个点亮度; ",IF(T93,,"9个白点之间的亮度差异太高, 再一次确认下; ")),IF(T95="","要测试四个颜色; ",IF(T95,,"3个红绿蓝颜色不太对的, 再一次确认下")),IF(P91&gt;L97,"告诉Vova和工厂业务电视软件有大问题: 客人模式亮度不应该比工厂模式亮度还高","")))</f>
        <v>不可以用这一页, 需要打开下一页‘9 points’!</v>
      </c>
      <c r="S90" s="39" t="str">
        <f>IF(D97&lt;1,"",IF(H96&lt;Statistics!$G$2*(1-Statistics!$Q$1),FALSE,TRUE))</f>
        <v/>
      </c>
      <c r="T90" s="39" t="str">
        <f>IF(L97&lt;1,"",IF(P96&lt;Statistics!$G$2*(1-Statistics!$Q$1),FALSE,TRUE))</f>
        <v/>
      </c>
    </row>
    <row r="91" spans="1:20" ht="21">
      <c r="A91" s="196"/>
      <c r="B91" s="207"/>
      <c r="C91" s="7"/>
      <c r="D91" s="8"/>
      <c r="E91" s="9"/>
      <c r="F91" s="8"/>
      <c r="G91" s="10"/>
      <c r="H91" s="11">
        <f>MAX(C91:G95)</f>
        <v>0</v>
      </c>
      <c r="I91" s="196"/>
      <c r="J91" s="207"/>
      <c r="K91" s="7"/>
      <c r="L91" s="8"/>
      <c r="M91" s="9"/>
      <c r="N91" s="8"/>
      <c r="O91" s="10"/>
      <c r="P91" s="11">
        <f>MAX(K91:O95)</f>
        <v>0</v>
      </c>
      <c r="Q91" s="194"/>
      <c r="R91" s="194"/>
      <c r="S91" s="39" t="str">
        <f>IF(F97=0,"",IF(H97&lt;Statistics!$G$5*(1-Statistics!$Q$1),FALSE,TRUE))</f>
        <v/>
      </c>
      <c r="T91" s="39" t="str">
        <f>IF(N97=0,"",IF(P97&lt;Statistics!$G$5*(1-Statistics!$Q$1),FALSE,TRUE))</f>
        <v/>
      </c>
    </row>
    <row r="92" spans="1:20" ht="21">
      <c r="A92" s="196"/>
      <c r="B92" s="207"/>
      <c r="C92" s="12"/>
      <c r="D92" s="7"/>
      <c r="E92" s="13"/>
      <c r="F92" s="10"/>
      <c r="G92" s="14"/>
      <c r="H92" s="11">
        <f>MAX(D92:F94)</f>
        <v>0</v>
      </c>
      <c r="I92" s="196"/>
      <c r="J92" s="207"/>
      <c r="K92" s="12"/>
      <c r="L92" s="7"/>
      <c r="M92" s="13"/>
      <c r="N92" s="10"/>
      <c r="O92" s="14"/>
      <c r="P92" s="11">
        <f>MAX(L92:N94)</f>
        <v>0</v>
      </c>
      <c r="Q92" s="194"/>
      <c r="R92" s="194"/>
      <c r="S92" s="39" t="str">
        <f>IF(E93=0,"",IF(H94&lt;Statistics!$G$3*(1-Statistics!$Q$1),FALSE,TRUE))</f>
        <v/>
      </c>
      <c r="T92" s="39" t="str">
        <f>IF(M93=0,"",IF(P94&lt;Statistics!$G$3*(1-Statistics!$Q$1),FALSE,TRUE))</f>
        <v/>
      </c>
    </row>
    <row r="93" spans="1:20" ht="21">
      <c r="A93" s="196"/>
      <c r="B93" s="207"/>
      <c r="C93" s="15"/>
      <c r="D93" s="16"/>
      <c r="E93" s="17"/>
      <c r="F93" s="18"/>
      <c r="G93" s="19"/>
      <c r="H93" s="11"/>
      <c r="I93" s="196"/>
      <c r="J93" s="207"/>
      <c r="K93" s="15"/>
      <c r="L93" s="16"/>
      <c r="M93" s="17"/>
      <c r="N93" s="18"/>
      <c r="O93" s="19"/>
      <c r="P93" s="11"/>
      <c r="Q93" s="194"/>
      <c r="R93" s="194"/>
      <c r="S93" s="39" t="str">
        <f>IF(E93=0,"",IF(H95&lt;Statistics!$G$4*(1-Statistics!$Q$1),FALSE,TRUE))</f>
        <v/>
      </c>
      <c r="T93" s="39" t="str">
        <f>IF(M93=0,"",IF(P95&lt;Statistics!$G$4*(1-Statistics!$Q$1),FALSE,TRUE))</f>
        <v/>
      </c>
    </row>
    <row r="94" spans="1:20" ht="21">
      <c r="A94" s="196"/>
      <c r="B94" s="207"/>
      <c r="C94" s="12"/>
      <c r="D94" s="20"/>
      <c r="E94" s="21"/>
      <c r="F94" s="22"/>
      <c r="G94" s="14"/>
      <c r="H94" s="23" t="str">
        <f>IFERROR(MIN(C91:G95)/MAX(C91:G95),"")</f>
        <v/>
      </c>
      <c r="I94" s="196"/>
      <c r="J94" s="207"/>
      <c r="K94" s="12"/>
      <c r="L94" s="20"/>
      <c r="M94" s="21"/>
      <c r="N94" s="22"/>
      <c r="O94" s="14"/>
      <c r="P94" s="23" t="str">
        <f>IFERROR(MIN(K91:O95)/MAX(K91:O95),"")</f>
        <v/>
      </c>
      <c r="Q94" s="194"/>
      <c r="R94" s="194"/>
      <c r="S94" s="39"/>
      <c r="T94" s="39"/>
    </row>
    <row r="95" spans="1:20" ht="21">
      <c r="A95" s="196"/>
      <c r="B95" s="207"/>
      <c r="C95" s="20"/>
      <c r="D95" s="24"/>
      <c r="E95" s="25"/>
      <c r="F95" s="24"/>
      <c r="G95" s="22"/>
      <c r="H95" s="23" t="str">
        <f>IFERROR(MIN(D92:F94)/MAX(D92:F94),"")</f>
        <v/>
      </c>
      <c r="I95" s="196"/>
      <c r="J95" s="207"/>
      <c r="K95" s="20"/>
      <c r="L95" s="24"/>
      <c r="M95" s="25"/>
      <c r="N95" s="24"/>
      <c r="O95" s="22"/>
      <c r="P95" s="23" t="str">
        <f>IFERROR(MIN(L92:N94)/MAX(L92:N94),"")</f>
        <v/>
      </c>
      <c r="Q95" s="194"/>
      <c r="R95" s="194"/>
      <c r="S95" s="39" t="str">
        <f>IF(E98&lt;0.1,"",IF(H98&lt;Statistics!$G$7*(1-2*Statistics!$Q$1),FALSE,TRUE))</f>
        <v/>
      </c>
      <c r="T95" s="39" t="str">
        <f>IF(M98&lt;0.1,"",IF(P98&lt;Statistics!$G$7*(1-2*Statistics!$Q$1),FALSE,TRUE))</f>
        <v/>
      </c>
    </row>
    <row r="96" spans="1:20" ht="21">
      <c r="A96" s="196"/>
      <c r="B96" s="200"/>
      <c r="C96" s="26" t="s">
        <v>81</v>
      </c>
      <c r="D96" s="215"/>
      <c r="E96" s="216"/>
      <c r="F96" s="216"/>
      <c r="G96" s="217"/>
      <c r="H96" s="27">
        <f>MAX(C91:G95,D97)</f>
        <v>0</v>
      </c>
      <c r="I96" s="196"/>
      <c r="J96" s="200"/>
      <c r="K96" s="26" t="s">
        <v>81</v>
      </c>
      <c r="L96" s="215"/>
      <c r="M96" s="216"/>
      <c r="N96" s="216"/>
      <c r="O96" s="217"/>
      <c r="P96" s="27">
        <f>MAX(K91:O95,L97)</f>
        <v>0</v>
      </c>
      <c r="Q96" s="194"/>
      <c r="R96" s="194"/>
      <c r="S96" s="39"/>
      <c r="T96" s="39"/>
    </row>
    <row r="97" spans="1:20" ht="21">
      <c r="A97" s="196"/>
      <c r="B97" s="218" t="s">
        <v>89</v>
      </c>
      <c r="C97" s="219"/>
      <c r="D97" s="220"/>
      <c r="E97" s="221"/>
      <c r="F97" s="222"/>
      <c r="G97" s="223"/>
      <c r="H97" s="28" t="str">
        <f>IFERROR(D97/F97,"")</f>
        <v/>
      </c>
      <c r="I97" s="196"/>
      <c r="J97" s="218" t="s">
        <v>89</v>
      </c>
      <c r="K97" s="219"/>
      <c r="L97" s="220"/>
      <c r="M97" s="221"/>
      <c r="N97" s="222"/>
      <c r="O97" s="223"/>
      <c r="P97" s="28" t="str">
        <f>IFERROR(L97/N97,"")</f>
        <v/>
      </c>
      <c r="Q97" s="194"/>
      <c r="R97" s="194"/>
      <c r="S97" s="39"/>
      <c r="T97" s="39"/>
    </row>
    <row r="98" spans="1:20" ht="21" customHeight="1">
      <c r="A98" s="196"/>
      <c r="B98" s="208" t="s">
        <v>90</v>
      </c>
      <c r="C98" s="209"/>
      <c r="D98" s="29"/>
      <c r="E98" s="30"/>
      <c r="F98" s="31"/>
      <c r="G98" s="32"/>
      <c r="H98" s="33">
        <f>0.5*ABS(E98*F99-E99*F98+F98*G99-F99*G98+G98*E99-G99*E98)/H99</f>
        <v>0</v>
      </c>
      <c r="I98" s="196"/>
      <c r="J98" s="208" t="s">
        <v>90</v>
      </c>
      <c r="K98" s="209"/>
      <c r="L98" s="29"/>
      <c r="M98" s="30"/>
      <c r="N98" s="31"/>
      <c r="O98" s="32"/>
      <c r="P98" s="33">
        <f>0.5*ABS(M98*N99-M99*N98+N98*O99-N99*O98+O98*M99-O99*M98)/P99</f>
        <v>0</v>
      </c>
      <c r="Q98" s="194"/>
      <c r="R98" s="194"/>
      <c r="S98" s="39"/>
      <c r="T98" s="39"/>
    </row>
    <row r="99" spans="1:20" ht="21">
      <c r="A99" s="197"/>
      <c r="B99" s="210"/>
      <c r="C99" s="211"/>
      <c r="D99" s="34"/>
      <c r="E99" s="35"/>
      <c r="F99" s="36"/>
      <c r="G99" s="37"/>
      <c r="H99" s="38">
        <f>0.5*ABS(0.674*0.712-0.218*0.326+0.218*0.08-0.14*0.712+0.14*0.326-0.674*0.08)</f>
        <v>0.15915000000000001</v>
      </c>
      <c r="I99" s="197"/>
      <c r="J99" s="210"/>
      <c r="K99" s="211"/>
      <c r="L99" s="34"/>
      <c r="M99" s="35"/>
      <c r="N99" s="36"/>
      <c r="O99" s="37"/>
      <c r="P99" s="38">
        <f>0.5*ABS(0.674*0.712-0.218*0.326+0.218*0.08-0.14*0.712+0.14*0.326-0.674*0.08)</f>
        <v>0.15915000000000001</v>
      </c>
      <c r="Q99" s="194"/>
      <c r="R99" s="194"/>
      <c r="S99" s="39"/>
      <c r="T99" s="39"/>
    </row>
    <row r="100" spans="1:20" ht="21">
      <c r="A100" s="195">
        <f>A89+1</f>
        <v>10</v>
      </c>
      <c r="B100" s="4" t="s">
        <v>75</v>
      </c>
      <c r="C100" s="205"/>
      <c r="D100" s="205"/>
      <c r="E100" s="205"/>
      <c r="F100" s="205"/>
      <c r="G100" s="205"/>
      <c r="H100" s="206"/>
      <c r="I100" s="195">
        <f>I89+1</f>
        <v>20</v>
      </c>
      <c r="J100" s="4" t="s">
        <v>75</v>
      </c>
      <c r="K100" s="205"/>
      <c r="L100" s="205"/>
      <c r="M100" s="205"/>
      <c r="N100" s="205"/>
      <c r="O100" s="205"/>
      <c r="P100" s="206"/>
      <c r="Q100" s="3"/>
      <c r="R100" s="3"/>
      <c r="S100" s="39"/>
      <c r="T100" s="39"/>
    </row>
    <row r="101" spans="1:20" ht="21" customHeight="1">
      <c r="A101" s="196"/>
      <c r="B101" s="198" t="s">
        <v>76</v>
      </c>
      <c r="C101" s="5"/>
      <c r="D101" s="212" t="str">
        <f>IF(Statistics!$R$2,"Use '9 points' sheet !",Statistics!$Q$2)</f>
        <v>Use '9 points' sheet !</v>
      </c>
      <c r="E101" s="213"/>
      <c r="F101" s="213"/>
      <c r="G101" s="214"/>
      <c r="H101" s="6"/>
      <c r="I101" s="196"/>
      <c r="J101" s="198" t="s">
        <v>76</v>
      </c>
      <c r="K101" s="5"/>
      <c r="L101" s="212" t="str">
        <f>IF(Statistics!$R$2,"Use '9 points' sheet !",Statistics!$Q$2)</f>
        <v>Use '9 points' sheet !</v>
      </c>
      <c r="M101" s="213"/>
      <c r="N101" s="213"/>
      <c r="O101" s="214"/>
      <c r="P101" s="6"/>
      <c r="Q101" s="194" t="str">
        <f>IF(Statistics!$R$2,"不可以用这一页, 需要打开下一页‘9 points’!",CONCATENATE(IF(S101="","要测试九个点和白墙亮度; ",IF(S101,,"工厂模式白屏亮度不够, 再一次确认下; ")),IF(S102="","要测试白黑屏亮度; ",IF(S102,,"工厂模式黑屏亮度太大, 再一次确认下; ")),IF(S104="","要测试九个点亮度; ",IF(S104,,"9个白点之间的亮度差异太高, 再一次确认下; ")),IF(S106="","要测试四个颜色; ",IF(S106,,"3个红绿蓝颜色不太对的, 再一次确认下")),IF(H102&gt;D108,"告诉Vova和工厂业务电视软件有大问题: 客人模式亮度不应该比工厂模式亮度还高","")))</f>
        <v>不可以用这一页, 需要打开下一页‘9 points’!</v>
      </c>
      <c r="R101" s="194" t="str">
        <f>IF(Statistics!$R$2,"不可以用这一页, 需要打开下一页‘9 points’!",CONCATENATE(IF(T101="","要测试九个点和白墙亮度; ",IF(T101,,"工厂模式白屏亮度不够, 再一次确认下; ")),IF(T102="","要测试白黑屏亮度; ",IF(T102,,"工厂模式黑屏亮度太大, 再一次确认下; ")),IF(T104="","要测试九个点亮度; ",IF(T104,,"9个白点之间的亮度差异太高, 再一次确认下; ")),IF(T106="","要测试四个颜色; ",IF(T106,,"3个红绿蓝颜色不太对的, 再一次确认下")),IF(P102&gt;L108,"告诉Vova和工厂业务电视软件有大问题: 客人模式亮度不应该比工厂模式亮度还高","")))</f>
        <v>不可以用这一页, 需要打开下一页‘9 points’!</v>
      </c>
      <c r="S101" s="39" t="str">
        <f>IF(D108&lt;1,"",IF(H107&lt;Statistics!$G$2*(1-Statistics!$Q$1),FALSE,TRUE))</f>
        <v/>
      </c>
      <c r="T101" s="39" t="str">
        <f>IF(L108&lt;1,"",IF(P107&lt;Statistics!$G$2*(1-Statistics!$Q$1),FALSE,TRUE))</f>
        <v/>
      </c>
    </row>
    <row r="102" spans="1:20" ht="21">
      <c r="A102" s="196"/>
      <c r="B102" s="207"/>
      <c r="C102" s="7"/>
      <c r="D102" s="8"/>
      <c r="E102" s="9"/>
      <c r="F102" s="8"/>
      <c r="G102" s="10"/>
      <c r="H102" s="11">
        <f>MAX(C102:G106)</f>
        <v>0</v>
      </c>
      <c r="I102" s="196"/>
      <c r="J102" s="207"/>
      <c r="K102" s="7"/>
      <c r="L102" s="8"/>
      <c r="M102" s="9"/>
      <c r="N102" s="8"/>
      <c r="O102" s="10"/>
      <c r="P102" s="11">
        <f>MAX(K102:O106)</f>
        <v>0</v>
      </c>
      <c r="Q102" s="194"/>
      <c r="R102" s="194"/>
      <c r="S102" s="39" t="str">
        <f>IF(F108=0,"",IF(H108&lt;Statistics!$G$5*(1-Statistics!$Q$1),FALSE,TRUE))</f>
        <v/>
      </c>
      <c r="T102" s="39" t="str">
        <f>IF(N108=0,"",IF(P108&lt;Statistics!$G$5*(1-Statistics!$Q$1),FALSE,TRUE))</f>
        <v/>
      </c>
    </row>
    <row r="103" spans="1:20" ht="21">
      <c r="A103" s="196"/>
      <c r="B103" s="207"/>
      <c r="C103" s="12"/>
      <c r="D103" s="7"/>
      <c r="E103" s="13"/>
      <c r="F103" s="10"/>
      <c r="G103" s="14"/>
      <c r="H103" s="11">
        <f>MAX(D103:F105)</f>
        <v>0</v>
      </c>
      <c r="I103" s="196"/>
      <c r="J103" s="207"/>
      <c r="K103" s="12"/>
      <c r="L103" s="7"/>
      <c r="M103" s="13"/>
      <c r="N103" s="10"/>
      <c r="O103" s="14"/>
      <c r="P103" s="11">
        <f>MAX(L103:N105)</f>
        <v>0</v>
      </c>
      <c r="Q103" s="194"/>
      <c r="R103" s="194"/>
      <c r="S103" s="39" t="str">
        <f>IF(E104=0,"",IF(H105&lt;Statistics!$G$3*(1-Statistics!$Q$1),FALSE,TRUE))</f>
        <v/>
      </c>
      <c r="T103" s="39" t="str">
        <f>IF(M104=0,"",IF(P105&lt;Statistics!$G$3*(1-Statistics!$Q$1),FALSE,TRUE))</f>
        <v/>
      </c>
    </row>
    <row r="104" spans="1:20" ht="21">
      <c r="A104" s="196"/>
      <c r="B104" s="207"/>
      <c r="C104" s="15"/>
      <c r="D104" s="16"/>
      <c r="E104" s="17"/>
      <c r="F104" s="18"/>
      <c r="G104" s="19"/>
      <c r="H104" s="11"/>
      <c r="I104" s="196"/>
      <c r="J104" s="207"/>
      <c r="K104" s="15"/>
      <c r="L104" s="16"/>
      <c r="M104" s="17"/>
      <c r="N104" s="18"/>
      <c r="O104" s="19"/>
      <c r="P104" s="11"/>
      <c r="Q104" s="194"/>
      <c r="R104" s="194"/>
      <c r="S104" s="39" t="str">
        <f>IF(E104=0,"",IF(H106&lt;Statistics!$G$4*(1-Statistics!$Q$1),FALSE,TRUE))</f>
        <v/>
      </c>
      <c r="T104" s="39" t="str">
        <f>IF(M104=0,"",IF(P106&lt;Statistics!$G$4*(1-Statistics!$Q$1),FALSE,TRUE))</f>
        <v/>
      </c>
    </row>
    <row r="105" spans="1:20" ht="21">
      <c r="A105" s="196"/>
      <c r="B105" s="207"/>
      <c r="C105" s="12"/>
      <c r="D105" s="20"/>
      <c r="E105" s="21"/>
      <c r="F105" s="22"/>
      <c r="G105" s="14"/>
      <c r="H105" s="23" t="str">
        <f>IFERROR(MIN(C102:G106)/MAX(C102:G106),"")</f>
        <v/>
      </c>
      <c r="I105" s="196"/>
      <c r="J105" s="207"/>
      <c r="K105" s="12"/>
      <c r="L105" s="20"/>
      <c r="M105" s="21"/>
      <c r="N105" s="22"/>
      <c r="O105" s="14"/>
      <c r="P105" s="23" t="str">
        <f>IFERROR(MIN(K102:O106)/MAX(K102:O106),"")</f>
        <v/>
      </c>
      <c r="Q105" s="194"/>
      <c r="R105" s="194"/>
      <c r="S105" s="39"/>
      <c r="T105" s="39"/>
    </row>
    <row r="106" spans="1:20" ht="21">
      <c r="A106" s="196"/>
      <c r="B106" s="207"/>
      <c r="C106" s="20"/>
      <c r="D106" s="24"/>
      <c r="E106" s="25"/>
      <c r="F106" s="24"/>
      <c r="G106" s="22"/>
      <c r="H106" s="23" t="str">
        <f>IFERROR(MIN(D103:F105)/MAX(D103:F105),"")</f>
        <v/>
      </c>
      <c r="I106" s="196"/>
      <c r="J106" s="207"/>
      <c r="K106" s="20"/>
      <c r="L106" s="24"/>
      <c r="M106" s="25"/>
      <c r="N106" s="24"/>
      <c r="O106" s="22"/>
      <c r="P106" s="23" t="str">
        <f>IFERROR(MIN(L103:N105)/MAX(L103:N105),"")</f>
        <v/>
      </c>
      <c r="Q106" s="194"/>
      <c r="R106" s="194"/>
      <c r="S106" s="39" t="str">
        <f>IF(E109&lt;0.1,"",IF(H109&lt;Statistics!$G$7*(1-2*Statistics!$Q$1),FALSE,TRUE))</f>
        <v/>
      </c>
      <c r="T106" s="39" t="str">
        <f>IF(M109&lt;0.1,"",IF(P109&lt;Statistics!$G$7*(1-2*Statistics!$Q$1),FALSE,TRUE))</f>
        <v/>
      </c>
    </row>
    <row r="107" spans="1:20" ht="21">
      <c r="A107" s="196"/>
      <c r="B107" s="200"/>
      <c r="C107" s="26" t="s">
        <v>81</v>
      </c>
      <c r="D107" s="215"/>
      <c r="E107" s="216"/>
      <c r="F107" s="216"/>
      <c r="G107" s="217"/>
      <c r="H107" s="27">
        <f>MAX(C102:G106,D108)</f>
        <v>0</v>
      </c>
      <c r="I107" s="196"/>
      <c r="J107" s="200"/>
      <c r="K107" s="26" t="s">
        <v>81</v>
      </c>
      <c r="L107" s="215"/>
      <c r="M107" s="216"/>
      <c r="N107" s="216"/>
      <c r="O107" s="217"/>
      <c r="P107" s="27">
        <f>MAX(K102:O106,L108)</f>
        <v>0</v>
      </c>
      <c r="Q107" s="194"/>
      <c r="R107" s="194"/>
      <c r="S107" s="39"/>
      <c r="T107" s="39"/>
    </row>
    <row r="108" spans="1:20" ht="21">
      <c r="A108" s="196"/>
      <c r="B108" s="218" t="s">
        <v>89</v>
      </c>
      <c r="C108" s="219"/>
      <c r="D108" s="220"/>
      <c r="E108" s="221"/>
      <c r="F108" s="222"/>
      <c r="G108" s="223"/>
      <c r="H108" s="28" t="str">
        <f>IFERROR(D108/F108,"")</f>
        <v/>
      </c>
      <c r="I108" s="196"/>
      <c r="J108" s="218" t="s">
        <v>89</v>
      </c>
      <c r="K108" s="219"/>
      <c r="L108" s="220"/>
      <c r="M108" s="221"/>
      <c r="N108" s="222"/>
      <c r="O108" s="223"/>
      <c r="P108" s="28" t="str">
        <f>IFERROR(L108/N108,"")</f>
        <v/>
      </c>
      <c r="Q108" s="194"/>
      <c r="R108" s="194"/>
      <c r="S108" s="39"/>
      <c r="T108" s="39"/>
    </row>
    <row r="109" spans="1:20" ht="21" customHeight="1">
      <c r="A109" s="196"/>
      <c r="B109" s="208" t="s">
        <v>90</v>
      </c>
      <c r="C109" s="209"/>
      <c r="D109" s="29"/>
      <c r="E109" s="30"/>
      <c r="F109" s="31"/>
      <c r="G109" s="32"/>
      <c r="H109" s="33">
        <f>0.5*ABS(E109*F110-E110*F109+F109*G110-F110*G109+G109*E110-G110*E109)/H110</f>
        <v>0</v>
      </c>
      <c r="I109" s="196"/>
      <c r="J109" s="208" t="s">
        <v>90</v>
      </c>
      <c r="K109" s="209"/>
      <c r="L109" s="29"/>
      <c r="M109" s="30"/>
      <c r="N109" s="31"/>
      <c r="O109" s="32"/>
      <c r="P109" s="33">
        <f>0.5*ABS(M109*N110-M110*N109+N109*O110-N110*O109+O109*M110-O110*M109)/P110</f>
        <v>0</v>
      </c>
      <c r="Q109" s="194"/>
      <c r="R109" s="194"/>
      <c r="S109" s="39"/>
      <c r="T109" s="39"/>
    </row>
    <row r="110" spans="1:20" ht="21">
      <c r="A110" s="197"/>
      <c r="B110" s="210"/>
      <c r="C110" s="211"/>
      <c r="D110" s="34"/>
      <c r="E110" s="35"/>
      <c r="F110" s="36"/>
      <c r="G110" s="37"/>
      <c r="H110" s="38">
        <f>0.5*ABS(0.674*0.712-0.218*0.326+0.218*0.08-0.14*0.712+0.14*0.326-0.674*0.08)</f>
        <v>0.15915000000000001</v>
      </c>
      <c r="I110" s="197"/>
      <c r="J110" s="210"/>
      <c r="K110" s="211"/>
      <c r="L110" s="34"/>
      <c r="M110" s="35"/>
      <c r="N110" s="36"/>
      <c r="O110" s="37"/>
      <c r="P110" s="38">
        <f>0.5*ABS(0.674*0.712-0.218*0.326+0.218*0.08-0.14*0.712+0.14*0.326-0.674*0.08)</f>
        <v>0.15915000000000001</v>
      </c>
      <c r="Q110" s="194"/>
      <c r="R110" s="194"/>
      <c r="S110" s="39"/>
      <c r="T110" s="39"/>
    </row>
    <row r="111" spans="1:20">
      <c r="Q111" s="3"/>
      <c r="R111" s="3"/>
      <c r="S111" s="39"/>
      <c r="T111" s="39"/>
    </row>
    <row r="112" spans="1:20">
      <c r="Q112" s="3"/>
      <c r="R112" s="3"/>
      <c r="S112" s="39"/>
      <c r="T112" s="39"/>
    </row>
    <row r="113" spans="17:20">
      <c r="Q113" s="3"/>
      <c r="R113" s="3"/>
      <c r="S113" s="39"/>
      <c r="T113" s="39"/>
    </row>
    <row r="114" spans="17:20">
      <c r="Q114" s="3"/>
      <c r="R114" s="3"/>
      <c r="S114" s="39"/>
      <c r="T114" s="39"/>
    </row>
    <row r="115" spans="17:20">
      <c r="Q115" s="3"/>
      <c r="R115" s="3"/>
      <c r="S115" s="39"/>
      <c r="T115" s="39"/>
    </row>
    <row r="116" spans="17:20">
      <c r="Q116" s="3"/>
      <c r="R116" s="3"/>
      <c r="S116" s="39"/>
      <c r="T116" s="39"/>
    </row>
    <row r="117" spans="17:20">
      <c r="Q117" s="3"/>
      <c r="R117" s="3"/>
      <c r="S117" s="39"/>
      <c r="T117" s="39"/>
    </row>
    <row r="118" spans="17:20">
      <c r="Q118" s="3"/>
      <c r="R118" s="3"/>
      <c r="S118" s="39"/>
      <c r="T118" s="39"/>
    </row>
    <row r="119" spans="17:20">
      <c r="Q119" s="3"/>
      <c r="R119" s="3"/>
      <c r="S119" s="39"/>
      <c r="T119" s="39"/>
    </row>
    <row r="120" spans="17:20">
      <c r="Q120" s="3"/>
      <c r="R120" s="3"/>
      <c r="S120" s="39"/>
      <c r="T120" s="39"/>
    </row>
    <row r="121" spans="17:20">
      <c r="Q121" s="3"/>
      <c r="R121" s="3"/>
      <c r="S121" s="39"/>
      <c r="T121" s="39"/>
    </row>
    <row r="122" spans="17:20">
      <c r="Q122" s="3"/>
      <c r="R122" s="3"/>
      <c r="S122" s="39"/>
      <c r="T122" s="39"/>
    </row>
    <row r="123" spans="17:20">
      <c r="Q123" s="3"/>
      <c r="R123" s="3"/>
      <c r="S123" s="39"/>
      <c r="T123" s="39"/>
    </row>
    <row r="124" spans="17:20">
      <c r="Q124" s="3"/>
      <c r="R124" s="3"/>
      <c r="S124" s="39"/>
      <c r="T124" s="39"/>
    </row>
    <row r="125" spans="17:20">
      <c r="Q125" s="3"/>
      <c r="R125" s="3"/>
      <c r="S125" s="39"/>
      <c r="T125" s="39"/>
    </row>
    <row r="126" spans="17:20">
      <c r="Q126" s="3"/>
      <c r="R126" s="3"/>
      <c r="S126" s="39"/>
      <c r="T126" s="39"/>
    </row>
    <row r="127" spans="17:20">
      <c r="Q127" s="3"/>
      <c r="R127" s="3"/>
      <c r="S127" s="39"/>
      <c r="T127" s="39"/>
    </row>
    <row r="128" spans="17:20">
      <c r="Q128" s="3"/>
      <c r="R128" s="3"/>
      <c r="S128" s="39"/>
      <c r="T128" s="39"/>
    </row>
    <row r="129" spans="17:20">
      <c r="Q129" s="3"/>
      <c r="R129" s="3"/>
      <c r="S129" s="39"/>
      <c r="T129" s="39"/>
    </row>
    <row r="130" spans="17:20">
      <c r="Q130" s="3"/>
      <c r="R130" s="3"/>
      <c r="S130" s="39"/>
      <c r="T130" s="39"/>
    </row>
    <row r="131" spans="17:20">
      <c r="Q131" s="3"/>
      <c r="R131" s="3"/>
      <c r="S131" s="39"/>
      <c r="T131" s="39"/>
    </row>
    <row r="132" spans="17:20">
      <c r="Q132" s="3"/>
      <c r="R132" s="3"/>
      <c r="S132" s="39"/>
      <c r="T132" s="39"/>
    </row>
    <row r="133" spans="17:20">
      <c r="Q133" s="3"/>
      <c r="R133" s="3"/>
      <c r="S133" s="39"/>
      <c r="T133" s="39"/>
    </row>
    <row r="134" spans="17:20">
      <c r="Q134" s="3"/>
      <c r="R134" s="3"/>
      <c r="S134" s="39"/>
      <c r="T134" s="39"/>
    </row>
    <row r="135" spans="17:20">
      <c r="Q135" s="3"/>
      <c r="R135" s="3"/>
      <c r="S135" s="39"/>
      <c r="T135" s="39"/>
    </row>
    <row r="136" spans="17:20">
      <c r="Q136" s="3"/>
      <c r="R136" s="3"/>
      <c r="S136" s="39"/>
      <c r="T136" s="39"/>
    </row>
    <row r="137" spans="17:20">
      <c r="Q137" s="3"/>
      <c r="R137" s="3"/>
      <c r="S137" s="39"/>
      <c r="T137" s="39"/>
    </row>
    <row r="138" spans="17:20">
      <c r="Q138" s="3"/>
      <c r="R138" s="3"/>
      <c r="S138" s="39"/>
      <c r="T138" s="39"/>
    </row>
    <row r="139" spans="17:20">
      <c r="Q139" s="3"/>
      <c r="R139" s="3"/>
      <c r="S139" s="39"/>
      <c r="T139" s="39"/>
    </row>
    <row r="140" spans="17:20">
      <c r="Q140" s="3"/>
      <c r="R140" s="3"/>
      <c r="S140" s="39"/>
      <c r="T140" s="39"/>
    </row>
    <row r="141" spans="17:20">
      <c r="Q141" s="3"/>
      <c r="R141" s="3"/>
      <c r="S141" s="39"/>
      <c r="T141" s="39"/>
    </row>
    <row r="142" spans="17:20">
      <c r="Q142" s="3"/>
      <c r="R142" s="3"/>
      <c r="S142" s="39"/>
      <c r="T142" s="39"/>
    </row>
    <row r="143" spans="17:20">
      <c r="Q143" s="3"/>
      <c r="R143" s="3"/>
      <c r="S143" s="39"/>
      <c r="T143" s="39"/>
    </row>
    <row r="144" spans="17:20">
      <c r="Q144" s="3"/>
      <c r="R144" s="3"/>
      <c r="S144" s="39"/>
      <c r="T144" s="39"/>
    </row>
    <row r="145" spans="17:20">
      <c r="Q145" s="3"/>
      <c r="R145" s="3"/>
      <c r="S145" s="39"/>
      <c r="T145" s="39"/>
    </row>
    <row r="146" spans="17:20">
      <c r="Q146" s="3"/>
      <c r="R146" s="3"/>
      <c r="S146" s="39"/>
      <c r="T146" s="39"/>
    </row>
    <row r="147" spans="17:20">
      <c r="Q147" s="3"/>
      <c r="R147" s="3"/>
      <c r="S147" s="39"/>
      <c r="T147" s="39"/>
    </row>
    <row r="148" spans="17:20">
      <c r="Q148" s="3"/>
      <c r="R148" s="3"/>
      <c r="S148" s="39"/>
      <c r="T148" s="39"/>
    </row>
    <row r="149" spans="17:20">
      <c r="Q149" s="3"/>
      <c r="R149" s="3"/>
      <c r="S149" s="39"/>
      <c r="T149" s="39"/>
    </row>
    <row r="150" spans="17:20">
      <c r="Q150" s="3"/>
      <c r="R150" s="3"/>
      <c r="S150" s="39"/>
      <c r="T150" s="39"/>
    </row>
    <row r="151" spans="17:20">
      <c r="Q151" s="3"/>
      <c r="R151" s="3"/>
      <c r="S151" s="39"/>
      <c r="T151" s="39"/>
    </row>
    <row r="152" spans="17:20">
      <c r="Q152" s="3"/>
      <c r="R152" s="3"/>
      <c r="S152" s="39"/>
      <c r="T152" s="39"/>
    </row>
    <row r="153" spans="17:20">
      <c r="Q153" s="3"/>
      <c r="R153" s="3"/>
      <c r="S153" s="39"/>
      <c r="T153" s="39"/>
    </row>
    <row r="154" spans="17:20">
      <c r="Q154" s="3"/>
      <c r="R154" s="3"/>
      <c r="S154" s="39"/>
      <c r="T154" s="39"/>
    </row>
    <row r="155" spans="17:20">
      <c r="Q155" s="3"/>
      <c r="R155" s="3"/>
      <c r="S155" s="39"/>
      <c r="T155" s="39"/>
    </row>
    <row r="156" spans="17:20">
      <c r="Q156" s="3"/>
      <c r="R156" s="3"/>
      <c r="S156" s="39"/>
      <c r="T156" s="39"/>
    </row>
    <row r="157" spans="17:20">
      <c r="Q157" s="3"/>
      <c r="R157" s="3"/>
      <c r="S157" s="39"/>
      <c r="T157" s="39"/>
    </row>
    <row r="158" spans="17:20">
      <c r="Q158" s="3"/>
      <c r="R158" s="3"/>
      <c r="S158" s="39"/>
      <c r="T158" s="39"/>
    </row>
    <row r="159" spans="17:20">
      <c r="Q159" s="3"/>
      <c r="R159" s="3"/>
      <c r="S159" s="39"/>
      <c r="T159" s="39"/>
    </row>
    <row r="160" spans="17:20">
      <c r="Q160" s="3"/>
      <c r="R160" s="3"/>
      <c r="S160" s="39"/>
      <c r="T160" s="39"/>
    </row>
    <row r="161" spans="17:20">
      <c r="Q161" s="3"/>
      <c r="R161" s="3"/>
      <c r="S161" s="39"/>
      <c r="T161" s="39"/>
    </row>
    <row r="162" spans="17:20">
      <c r="Q162" s="3"/>
      <c r="R162" s="3"/>
      <c r="S162" s="39"/>
      <c r="T162" s="39"/>
    </row>
    <row r="163" spans="17:20">
      <c r="Q163" s="3"/>
      <c r="R163" s="3"/>
      <c r="S163" s="39"/>
      <c r="T163" s="39"/>
    </row>
    <row r="164" spans="17:20">
      <c r="Q164" s="3"/>
      <c r="R164" s="3"/>
      <c r="S164" s="39"/>
      <c r="T164" s="39"/>
    </row>
    <row r="165" spans="17:20">
      <c r="Q165" s="3"/>
      <c r="R165" s="3"/>
      <c r="S165" s="39"/>
      <c r="T165" s="39"/>
    </row>
    <row r="166" spans="17:20">
      <c r="Q166" s="3"/>
      <c r="R166" s="3"/>
      <c r="S166" s="39"/>
      <c r="T166" s="39"/>
    </row>
    <row r="167" spans="17:20">
      <c r="Q167" s="3"/>
      <c r="R167" s="3"/>
      <c r="S167" s="39"/>
      <c r="T167" s="39"/>
    </row>
    <row r="168" spans="17:20">
      <c r="Q168" s="3"/>
      <c r="R168" s="3"/>
      <c r="S168" s="39"/>
      <c r="T168" s="39"/>
    </row>
    <row r="169" spans="17:20">
      <c r="Q169" s="3"/>
      <c r="R169" s="3"/>
      <c r="S169" s="39"/>
      <c r="T169" s="39"/>
    </row>
    <row r="170" spans="17:20">
      <c r="Q170" s="3"/>
      <c r="R170" s="3"/>
      <c r="S170" s="39"/>
      <c r="T170" s="39"/>
    </row>
    <row r="171" spans="17:20">
      <c r="Q171" s="3"/>
      <c r="R171" s="3"/>
      <c r="S171" s="39"/>
      <c r="T171" s="39"/>
    </row>
    <row r="172" spans="17:20">
      <c r="Q172" s="3"/>
      <c r="R172" s="3"/>
      <c r="S172" s="39"/>
      <c r="T172" s="39"/>
    </row>
    <row r="173" spans="17:20">
      <c r="Q173" s="3"/>
      <c r="R173" s="3"/>
      <c r="S173" s="39"/>
      <c r="T173" s="39"/>
    </row>
    <row r="174" spans="17:20">
      <c r="Q174" s="3"/>
      <c r="R174" s="3"/>
      <c r="S174" s="39"/>
      <c r="T174" s="39"/>
    </row>
    <row r="175" spans="17:20">
      <c r="Q175" s="3"/>
      <c r="R175" s="3"/>
      <c r="S175" s="39"/>
      <c r="T175" s="39"/>
    </row>
    <row r="176" spans="17:20">
      <c r="Q176" s="3"/>
      <c r="R176" s="3"/>
      <c r="S176" s="39"/>
      <c r="T176" s="39"/>
    </row>
    <row r="177" spans="17:20">
      <c r="Q177" s="3"/>
      <c r="R177" s="3"/>
      <c r="S177" s="39"/>
      <c r="T177" s="39"/>
    </row>
    <row r="178" spans="17:20">
      <c r="Q178" s="3"/>
      <c r="R178" s="3"/>
      <c r="S178" s="39"/>
      <c r="T178" s="39"/>
    </row>
    <row r="179" spans="17:20">
      <c r="Q179" s="3"/>
      <c r="R179" s="3"/>
      <c r="S179" s="39"/>
      <c r="T179" s="39"/>
    </row>
    <row r="180" spans="17:20">
      <c r="Q180" s="3"/>
      <c r="R180" s="3"/>
      <c r="S180" s="39"/>
      <c r="T180" s="39"/>
    </row>
    <row r="181" spans="17:20">
      <c r="Q181" s="3"/>
      <c r="R181" s="3"/>
      <c r="S181" s="39"/>
      <c r="T181" s="39"/>
    </row>
    <row r="182" spans="17:20">
      <c r="Q182" s="3"/>
      <c r="R182" s="3"/>
      <c r="S182" s="39"/>
      <c r="T182" s="39"/>
    </row>
    <row r="183" spans="17:20">
      <c r="Q183" s="3"/>
      <c r="R183" s="3"/>
      <c r="S183" s="39"/>
      <c r="T183" s="39"/>
    </row>
    <row r="184" spans="17:20">
      <c r="Q184" s="3"/>
      <c r="R184" s="3"/>
      <c r="S184" s="39"/>
      <c r="T184" s="39"/>
    </row>
    <row r="185" spans="17:20">
      <c r="Q185" s="3"/>
      <c r="R185" s="3"/>
      <c r="S185" s="39"/>
      <c r="T185" s="39"/>
    </row>
    <row r="186" spans="17:20">
      <c r="Q186" s="3"/>
      <c r="R186" s="3"/>
      <c r="S186" s="39"/>
      <c r="T186" s="39"/>
    </row>
    <row r="187" spans="17:20">
      <c r="Q187" s="3"/>
      <c r="R187" s="3"/>
      <c r="S187" s="39"/>
      <c r="T187" s="39"/>
    </row>
    <row r="188" spans="17:20">
      <c r="Q188" s="3"/>
      <c r="R188" s="3"/>
      <c r="S188" s="39"/>
      <c r="T188" s="39"/>
    </row>
    <row r="189" spans="17:20">
      <c r="Q189" s="3"/>
      <c r="R189" s="3"/>
      <c r="S189" s="39"/>
      <c r="T189" s="39"/>
    </row>
    <row r="190" spans="17:20">
      <c r="Q190" s="3"/>
      <c r="R190" s="3"/>
      <c r="S190" s="39"/>
      <c r="T190" s="39"/>
    </row>
    <row r="191" spans="17:20">
      <c r="Q191" s="3"/>
      <c r="R191" s="3"/>
      <c r="S191" s="39"/>
      <c r="T191" s="39"/>
    </row>
    <row r="192" spans="17:20">
      <c r="Q192" s="3"/>
      <c r="R192" s="3"/>
      <c r="S192" s="39"/>
      <c r="T192" s="39"/>
    </row>
    <row r="193" spans="17:20">
      <c r="Q193" s="3"/>
      <c r="R193" s="3"/>
      <c r="S193" s="39"/>
      <c r="T193" s="39"/>
    </row>
    <row r="194" spans="17:20">
      <c r="Q194" s="3"/>
      <c r="R194" s="3"/>
      <c r="S194" s="39"/>
      <c r="T194" s="39"/>
    </row>
    <row r="195" spans="17:20">
      <c r="Q195" s="3"/>
      <c r="R195" s="3"/>
      <c r="S195" s="39"/>
      <c r="T195" s="39"/>
    </row>
    <row r="196" spans="17:20">
      <c r="Q196" s="3"/>
      <c r="R196" s="3"/>
      <c r="S196" s="39"/>
      <c r="T196" s="39"/>
    </row>
    <row r="197" spans="17:20">
      <c r="Q197" s="3"/>
      <c r="R197" s="3"/>
      <c r="S197" s="39"/>
      <c r="T197" s="39"/>
    </row>
    <row r="198" spans="17:20">
      <c r="Q198" s="3"/>
      <c r="R198" s="3"/>
      <c r="S198" s="39"/>
      <c r="T198" s="39"/>
    </row>
    <row r="199" spans="17:20">
      <c r="Q199" s="3"/>
      <c r="R199" s="3"/>
      <c r="S199" s="39"/>
      <c r="T199" s="39"/>
    </row>
    <row r="200" spans="17:20">
      <c r="Q200" s="3"/>
      <c r="R200" s="3"/>
      <c r="S200" s="39"/>
      <c r="T200" s="39"/>
    </row>
    <row r="201" spans="17:20">
      <c r="Q201" s="3"/>
      <c r="R201" s="3"/>
      <c r="S201" s="39"/>
      <c r="T201" s="39"/>
    </row>
    <row r="202" spans="17:20">
      <c r="Q202" s="3"/>
      <c r="R202" s="3"/>
      <c r="S202" s="39"/>
      <c r="T202" s="39"/>
    </row>
    <row r="203" spans="17:20">
      <c r="Q203" s="3"/>
      <c r="R203" s="3"/>
      <c r="S203" s="39"/>
      <c r="T203" s="39"/>
    </row>
    <row r="204" spans="17:20">
      <c r="Q204" s="3"/>
      <c r="R204" s="3"/>
      <c r="S204" s="39"/>
      <c r="T204" s="39"/>
    </row>
    <row r="205" spans="17:20">
      <c r="Q205" s="3"/>
      <c r="R205" s="3"/>
      <c r="S205" s="39"/>
      <c r="T205" s="39"/>
    </row>
    <row r="206" spans="17:20">
      <c r="Q206" s="3"/>
      <c r="R206" s="3"/>
      <c r="S206" s="39"/>
      <c r="T206" s="39"/>
    </row>
    <row r="207" spans="17:20">
      <c r="Q207" s="3"/>
      <c r="R207" s="3"/>
      <c r="S207" s="39"/>
      <c r="T207" s="39"/>
    </row>
    <row r="208" spans="17:20">
      <c r="Q208" s="3"/>
      <c r="R208" s="3"/>
      <c r="S208" s="39"/>
      <c r="T208" s="39"/>
    </row>
    <row r="209" spans="17:20">
      <c r="Q209" s="3"/>
      <c r="R209" s="3"/>
      <c r="S209" s="39"/>
      <c r="T209" s="39"/>
    </row>
  </sheetData>
  <sheetProtection sheet="1" objects="1" scenarios="1" selectLockedCells="1"/>
  <mergeCells count="200">
    <mergeCell ref="C1:H1"/>
    <mergeCell ref="K1:P1"/>
    <mergeCell ref="D2:G2"/>
    <mergeCell ref="L2:O2"/>
    <mergeCell ref="D8:G8"/>
    <mergeCell ref="L8:O8"/>
    <mergeCell ref="B9:C9"/>
    <mergeCell ref="D9:E9"/>
    <mergeCell ref="F9:G9"/>
    <mergeCell ref="J9:K9"/>
    <mergeCell ref="L9:M9"/>
    <mergeCell ref="N9:O9"/>
    <mergeCell ref="I1:I11"/>
    <mergeCell ref="J2:J8"/>
    <mergeCell ref="J10:K11"/>
    <mergeCell ref="C12:H12"/>
    <mergeCell ref="K12:P12"/>
    <mergeCell ref="D13:G13"/>
    <mergeCell ref="L13:O13"/>
    <mergeCell ref="D19:G19"/>
    <mergeCell ref="L19:O19"/>
    <mergeCell ref="B20:C20"/>
    <mergeCell ref="D20:E20"/>
    <mergeCell ref="F20:G20"/>
    <mergeCell ref="J20:K20"/>
    <mergeCell ref="L20:M20"/>
    <mergeCell ref="N20:O20"/>
    <mergeCell ref="I12:I22"/>
    <mergeCell ref="J13:J19"/>
    <mergeCell ref="J21:K22"/>
    <mergeCell ref="C23:H23"/>
    <mergeCell ref="K23:P23"/>
    <mergeCell ref="D24:G24"/>
    <mergeCell ref="L24:O24"/>
    <mergeCell ref="D30:G30"/>
    <mergeCell ref="L30:O30"/>
    <mergeCell ref="B31:C31"/>
    <mergeCell ref="D31:E31"/>
    <mergeCell ref="F31:G31"/>
    <mergeCell ref="J31:K31"/>
    <mergeCell ref="L31:M31"/>
    <mergeCell ref="N31:O31"/>
    <mergeCell ref="I23:I33"/>
    <mergeCell ref="J24:J30"/>
    <mergeCell ref="J32:K33"/>
    <mergeCell ref="C34:H34"/>
    <mergeCell ref="K34:P34"/>
    <mergeCell ref="D35:G35"/>
    <mergeCell ref="L35:O35"/>
    <mergeCell ref="D41:G41"/>
    <mergeCell ref="L41:O41"/>
    <mergeCell ref="B42:C42"/>
    <mergeCell ref="D42:E42"/>
    <mergeCell ref="F42:G42"/>
    <mergeCell ref="J42:K42"/>
    <mergeCell ref="L42:M42"/>
    <mergeCell ref="N42:O42"/>
    <mergeCell ref="I34:I44"/>
    <mergeCell ref="J35:J41"/>
    <mergeCell ref="J43:K44"/>
    <mergeCell ref="C45:H45"/>
    <mergeCell ref="K45:P45"/>
    <mergeCell ref="D46:G46"/>
    <mergeCell ref="L46:O46"/>
    <mergeCell ref="D52:G52"/>
    <mergeCell ref="L52:O52"/>
    <mergeCell ref="B53:C53"/>
    <mergeCell ref="D53:E53"/>
    <mergeCell ref="F53:G53"/>
    <mergeCell ref="J53:K53"/>
    <mergeCell ref="L53:M53"/>
    <mergeCell ref="N53:O53"/>
    <mergeCell ref="I45:I55"/>
    <mergeCell ref="J46:J52"/>
    <mergeCell ref="J54:K55"/>
    <mergeCell ref="C56:H56"/>
    <mergeCell ref="K56:P56"/>
    <mergeCell ref="D57:G57"/>
    <mergeCell ref="L57:O57"/>
    <mergeCell ref="D63:G63"/>
    <mergeCell ref="L63:O63"/>
    <mergeCell ref="B64:C64"/>
    <mergeCell ref="D64:E64"/>
    <mergeCell ref="F64:G64"/>
    <mergeCell ref="J64:K64"/>
    <mergeCell ref="L64:M64"/>
    <mergeCell ref="N64:O64"/>
    <mergeCell ref="I56:I66"/>
    <mergeCell ref="J57:J63"/>
    <mergeCell ref="J65:K66"/>
    <mergeCell ref="C67:H67"/>
    <mergeCell ref="K67:P67"/>
    <mergeCell ref="D68:G68"/>
    <mergeCell ref="L68:O68"/>
    <mergeCell ref="D74:G74"/>
    <mergeCell ref="L74:O74"/>
    <mergeCell ref="B75:C75"/>
    <mergeCell ref="D75:E75"/>
    <mergeCell ref="F75:G75"/>
    <mergeCell ref="J75:K75"/>
    <mergeCell ref="L75:M75"/>
    <mergeCell ref="N75:O75"/>
    <mergeCell ref="I67:I77"/>
    <mergeCell ref="J68:J74"/>
    <mergeCell ref="J76:K77"/>
    <mergeCell ref="J98:K99"/>
    <mergeCell ref="C78:H78"/>
    <mergeCell ref="K78:P78"/>
    <mergeCell ref="D79:G79"/>
    <mergeCell ref="L79:O79"/>
    <mergeCell ref="D85:G85"/>
    <mergeCell ref="L85:O85"/>
    <mergeCell ref="B86:C86"/>
    <mergeCell ref="D86:E86"/>
    <mergeCell ref="F86:G86"/>
    <mergeCell ref="J86:K86"/>
    <mergeCell ref="L86:M86"/>
    <mergeCell ref="N86:O86"/>
    <mergeCell ref="I78:I88"/>
    <mergeCell ref="J79:J85"/>
    <mergeCell ref="J87:K88"/>
    <mergeCell ref="D107:G107"/>
    <mergeCell ref="L107:O107"/>
    <mergeCell ref="B108:C108"/>
    <mergeCell ref="D108:E108"/>
    <mergeCell ref="F108:G108"/>
    <mergeCell ref="J108:K108"/>
    <mergeCell ref="L108:M108"/>
    <mergeCell ref="N108:O108"/>
    <mergeCell ref="I100:I110"/>
    <mergeCell ref="J101:J107"/>
    <mergeCell ref="J109:K110"/>
    <mergeCell ref="A34:A44"/>
    <mergeCell ref="A45:A55"/>
    <mergeCell ref="A56:A66"/>
    <mergeCell ref="A67:A77"/>
    <mergeCell ref="A78:A88"/>
    <mergeCell ref="A89:A99"/>
    <mergeCell ref="C100:H100"/>
    <mergeCell ref="K100:P100"/>
    <mergeCell ref="D101:G101"/>
    <mergeCell ref="L101:O101"/>
    <mergeCell ref="C89:H89"/>
    <mergeCell ref="K89:P89"/>
    <mergeCell ref="D90:G90"/>
    <mergeCell ref="L90:O90"/>
    <mergeCell ref="D96:G96"/>
    <mergeCell ref="L96:O96"/>
    <mergeCell ref="B97:C97"/>
    <mergeCell ref="D97:E97"/>
    <mergeCell ref="F97:G97"/>
    <mergeCell ref="J97:K97"/>
    <mergeCell ref="L97:M97"/>
    <mergeCell ref="N97:O97"/>
    <mergeCell ref="I89:I99"/>
    <mergeCell ref="J90:J96"/>
    <mergeCell ref="A100:A110"/>
    <mergeCell ref="B2:B8"/>
    <mergeCell ref="B13:B19"/>
    <mergeCell ref="B24:B30"/>
    <mergeCell ref="B35:B41"/>
    <mergeCell ref="B46:B52"/>
    <mergeCell ref="B57:B63"/>
    <mergeCell ref="B68:B74"/>
    <mergeCell ref="B79:B85"/>
    <mergeCell ref="B90:B96"/>
    <mergeCell ref="B101:B107"/>
    <mergeCell ref="B10:C11"/>
    <mergeCell ref="B32:C33"/>
    <mergeCell ref="B21:C22"/>
    <mergeCell ref="B43:C44"/>
    <mergeCell ref="B65:C66"/>
    <mergeCell ref="B76:C77"/>
    <mergeCell ref="B109:C110"/>
    <mergeCell ref="B98:C99"/>
    <mergeCell ref="B87:C88"/>
    <mergeCell ref="B54:C55"/>
    <mergeCell ref="A1:A11"/>
    <mergeCell ref="A12:A22"/>
    <mergeCell ref="A23:A33"/>
    <mergeCell ref="Q101:Q110"/>
    <mergeCell ref="R2:R11"/>
    <mergeCell ref="R13:R22"/>
    <mergeCell ref="R24:R33"/>
    <mergeCell ref="R35:R44"/>
    <mergeCell ref="R46:R55"/>
    <mergeCell ref="R57:R66"/>
    <mergeCell ref="R68:R77"/>
    <mergeCell ref="R79:R88"/>
    <mergeCell ref="R90:R99"/>
    <mergeCell ref="R101:R110"/>
    <mergeCell ref="Q2:Q11"/>
    <mergeCell ref="Q13:Q22"/>
    <mergeCell ref="Q24:Q33"/>
    <mergeCell ref="Q35:Q44"/>
    <mergeCell ref="Q46:Q55"/>
    <mergeCell ref="Q57:Q66"/>
    <mergeCell ref="Q68:Q77"/>
    <mergeCell ref="Q79:Q88"/>
    <mergeCell ref="Q90:Q99"/>
  </mergeCells>
  <conditionalFormatting sqref="D2:G2">
    <cfRule type="containsText" dxfId="32" priority="45" operator="containsText" text="Use '9 points' sheet !">
      <formula>NOT(ISERROR(SEARCH("Use '9 points' sheet !",D2)))</formula>
    </cfRule>
  </conditionalFormatting>
  <conditionalFormatting sqref="D13:G13">
    <cfRule type="containsText" dxfId="31" priority="18" operator="containsText" text="Use '9 points' sheet !">
      <formula>NOT(ISERROR(SEARCH("Use '9 points' sheet !",D13)))</formula>
    </cfRule>
  </conditionalFormatting>
  <conditionalFormatting sqref="D24:G24">
    <cfRule type="containsText" dxfId="30" priority="16" operator="containsText" text="Use '9 points' sheet !">
      <formula>NOT(ISERROR(SEARCH("Use '9 points' sheet !",D24)))</formula>
    </cfRule>
  </conditionalFormatting>
  <conditionalFormatting sqref="D35:G35">
    <cfRule type="containsText" dxfId="29" priority="14" operator="containsText" text="Use '9 points' sheet !">
      <formula>NOT(ISERROR(SEARCH("Use '9 points' sheet !",D35)))</formula>
    </cfRule>
  </conditionalFormatting>
  <conditionalFormatting sqref="D46:G46">
    <cfRule type="containsText" dxfId="28" priority="12" operator="containsText" text="Use '9 points' sheet !">
      <formula>NOT(ISERROR(SEARCH("Use '9 points' sheet !",D46)))</formula>
    </cfRule>
  </conditionalFormatting>
  <conditionalFormatting sqref="D57:G57">
    <cfRule type="containsText" dxfId="27" priority="10" operator="containsText" text="Use '9 points' sheet !">
      <formula>NOT(ISERROR(SEARCH("Use '9 points' sheet !",D57)))</formula>
    </cfRule>
  </conditionalFormatting>
  <conditionalFormatting sqref="D68:G68">
    <cfRule type="containsText" dxfId="26" priority="8" operator="containsText" text="Use '9 points' sheet !">
      <formula>NOT(ISERROR(SEARCH("Use '9 points' sheet !",D68)))</formula>
    </cfRule>
  </conditionalFormatting>
  <conditionalFormatting sqref="D79:G79">
    <cfRule type="containsText" dxfId="25" priority="6" operator="containsText" text="Use '9 points' sheet !">
      <formula>NOT(ISERROR(SEARCH("Use '9 points' sheet !",D79)))</formula>
    </cfRule>
  </conditionalFormatting>
  <conditionalFormatting sqref="D90:G90">
    <cfRule type="containsText" dxfId="24" priority="4" operator="containsText" text="Use '9 points' sheet !">
      <formula>NOT(ISERROR(SEARCH("Use '9 points' sheet !",D90)))</formula>
    </cfRule>
  </conditionalFormatting>
  <conditionalFormatting sqref="D101:G101">
    <cfRule type="containsText" dxfId="23" priority="2" operator="containsText" text="Use '9 points' sheet !">
      <formula>NOT(ISERROR(SEARCH("Use '9 points' sheet !",D101)))</formula>
    </cfRule>
  </conditionalFormatting>
  <conditionalFormatting sqref="L2:O2">
    <cfRule type="containsText" dxfId="22" priority="19" operator="containsText" text="Use '9 points' sheet !">
      <formula>NOT(ISERROR(SEARCH("Use '9 points' sheet !",L2)))</formula>
    </cfRule>
  </conditionalFormatting>
  <conditionalFormatting sqref="L13:O13">
    <cfRule type="containsText" dxfId="21" priority="17" operator="containsText" text="Use '9 points' sheet !">
      <formula>NOT(ISERROR(SEARCH("Use '9 points' sheet !",L13)))</formula>
    </cfRule>
  </conditionalFormatting>
  <conditionalFormatting sqref="L24:O24">
    <cfRule type="containsText" dxfId="20" priority="15" operator="containsText" text="Use '9 points' sheet !">
      <formula>NOT(ISERROR(SEARCH("Use '9 points' sheet !",L24)))</formula>
    </cfRule>
  </conditionalFormatting>
  <conditionalFormatting sqref="L35:O35">
    <cfRule type="containsText" dxfId="19" priority="13" operator="containsText" text="Use '9 points' sheet !">
      <formula>NOT(ISERROR(SEARCH("Use '9 points' sheet !",L35)))</formula>
    </cfRule>
  </conditionalFormatting>
  <conditionalFormatting sqref="L46:O46">
    <cfRule type="containsText" dxfId="18" priority="11" operator="containsText" text="Use '9 points' sheet !">
      <formula>NOT(ISERROR(SEARCH("Use '9 points' sheet !",L46)))</formula>
    </cfRule>
  </conditionalFormatting>
  <conditionalFormatting sqref="L57:O57">
    <cfRule type="containsText" dxfId="17" priority="9" operator="containsText" text="Use '9 points' sheet !">
      <formula>NOT(ISERROR(SEARCH("Use '9 points' sheet !",L57)))</formula>
    </cfRule>
  </conditionalFormatting>
  <conditionalFormatting sqref="L68:O68">
    <cfRule type="containsText" dxfId="16" priority="7" operator="containsText" text="Use '9 points' sheet !">
      <formula>NOT(ISERROR(SEARCH("Use '9 points' sheet !",L68)))</formula>
    </cfRule>
  </conditionalFormatting>
  <conditionalFormatting sqref="L79:O79">
    <cfRule type="containsText" dxfId="15" priority="5" operator="containsText" text="Use '9 points' sheet !">
      <formula>NOT(ISERROR(SEARCH("Use '9 points' sheet !",L79)))</formula>
    </cfRule>
  </conditionalFormatting>
  <conditionalFormatting sqref="L90:O90">
    <cfRule type="containsText" dxfId="14" priority="3" operator="containsText" text="Use '9 points' sheet !">
      <formula>NOT(ISERROR(SEARCH("Use '9 points' sheet !",L90)))</formula>
    </cfRule>
  </conditionalFormatting>
  <conditionalFormatting sqref="L101:O101">
    <cfRule type="containsText" dxfId="13" priority="1" operator="containsText" text="Use '9 points' sheet !">
      <formula>NOT(ISERROR(SEARCH("Use '9 points' sheet !",L101)))</formula>
    </cfRule>
  </conditionalFormatting>
  <conditionalFormatting sqref="Q2:R11 Q13:R22 Q24:R33 Q35:R44 Q46:R55 Q57:R66 Q68:R77 Q79:R88 Q90:R99 Q101:R110">
    <cfRule type="containsText" dxfId="12" priority="46" operator="containsText" text="要测试">
      <formula>NOT(ISERROR(SEARCH("要测试",Q2)))</formula>
    </cfRule>
  </conditionalFormatting>
  <conditionalFormatting sqref="Q2:R110">
    <cfRule type="containsText" dxfId="11" priority="20" operator="containsText" text="不可以用这一页, 需要打开下一页‘9 points’!">
      <formula>NOT(ISERROR(SEARCH("不可以用这一页, 需要打开下一页‘9 points’!",Q2)))</formula>
    </cfRule>
  </conditionalFormatting>
  <dataValidations count="3">
    <dataValidation type="decimal" allowBlank="1" showInputMessage="1" showErrorMessage="1" sqref="D9 L9 D20 L20 D31 L31 D42 L42 D53 L53 D64 L64 D75 L75 D86 L86 D97 L97 D108 L108 C3:G7 C58:G62 K36:O40 K91:O95 K25:O29 K80:O84 C14:G18 C69:G73 C47:G51 C102:G106 C25:G29 C80:G84 K3:O7 K58:O62 C36:G40 C91:G95 K14:O18 K69:O73 K47:O51 K102:O106" xr:uid="{00000000-0002-0000-0300-000000000000}">
      <formula1>50</formula1>
      <formula2>1000</formula2>
    </dataValidation>
    <dataValidation type="decimal" operator="lessThan" allowBlank="1" showInputMessage="1" showErrorMessage="1" errorTitle="Just a value" error="Brightness of the black screen can't exceed 1. 只写数字. 黑屏温度不可能大于 1" sqref="F9 N9 F20 N20 F31 N31 F42 N42 F53 N53 F64 N64 F75 N75 F86 N86 F97 N97 F108 N108" xr:uid="{00000000-0002-0000-0300-000001000000}">
      <formula1>1</formula1>
    </dataValidation>
    <dataValidation type="decimal" allowBlank="1" showInputMessage="1" showErrorMessage="1" sqref="D11 L11 D22 L22 D33 L33 D44 L44 D55 L55 D66 L66 D77 L77 D88 L88 D99 L99 D110 L110" xr:uid="{00000000-0002-0000-0300-000002000000}">
      <formula1>0.25</formula1>
      <formula2>0.38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Statistics</vt:lpstr>
      <vt:lpstr>Gamma</vt:lpstr>
      <vt:lpstr>9 points</vt:lpstr>
      <vt:lpstr>5_13 points</vt:lpstr>
    </vt:vector>
  </TitlesOfParts>
  <Manager>Vladimir Rakov</Manager>
  <Company>Sberdevices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Screen checking list</dc:title>
  <dc:creator>Vladimir Rakov</dc:creator>
  <dc:description>Deeelta@icloud.com</dc:description>
  <cp:lastModifiedBy>Pavel S</cp:lastModifiedBy>
  <dcterms:created xsi:type="dcterms:W3CDTF">2022-12-08T03:53:00Z</dcterms:created>
  <dcterms:modified xsi:type="dcterms:W3CDTF">2025-10-14T06:46:21Z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71BD9ABBD60348BF841F01070410D43D</vt:lpwstr>
  </property>
  <property fmtid="{D5CDD505-2E9C-101B-9397-08002B2CF9AE}" pid="3" name="KSOProductBuildVer">
    <vt:lpwstr>2052-12.1.0.16417</vt:lpwstr>
  </property>
</Properties>
</file>